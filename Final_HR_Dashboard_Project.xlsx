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AP-TECH\Downloads\"/>
    </mc:Choice>
  </mc:AlternateContent>
  <xr:revisionPtr revIDLastSave="0" documentId="13_ncr:1_{740C715D-FD43-4EEA-82BA-560D4F0658B9}" xr6:coauthVersionLast="47" xr6:coauthVersionMax="47" xr10:uidLastSave="{00000000-0000-0000-0000-000000000000}"/>
  <bookViews>
    <workbookView xWindow="-110" yWindow="-110" windowWidth="19420" windowHeight="11020" activeTab="3" xr2:uid="{00000000-000D-0000-FFFF-FFFF00000000}"/>
  </bookViews>
  <sheets>
    <sheet name="Employee Data" sheetId="1" r:id="rId1"/>
    <sheet name="Pivot table dep-wise" sheetId="3" r:id="rId2"/>
    <sheet name="Pivot table city-salaray" sheetId="4" r:id="rId3"/>
    <sheet name="Dashboard" sheetId="2" r:id="rId4"/>
  </sheets>
  <definedNames>
    <definedName name="Slicer_Join_Year">#N/A</definedName>
    <definedName name="Slicer_Status">#N/A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7" i="2"/>
  <c r="B6" i="2"/>
  <c r="B5" i="2"/>
  <c r="B4" i="2"/>
</calcChain>
</file>

<file path=xl/sharedStrings.xml><?xml version="1.0" encoding="utf-8"?>
<sst xmlns="http://schemas.openxmlformats.org/spreadsheetml/2006/main" count="186" uniqueCount="68">
  <si>
    <t>Employee</t>
  </si>
  <si>
    <t>Department</t>
  </si>
  <si>
    <t>City</t>
  </si>
  <si>
    <t>Salary</t>
  </si>
  <si>
    <t>Attendance %</t>
  </si>
  <si>
    <t>Status</t>
  </si>
  <si>
    <t>Join Year</t>
  </si>
  <si>
    <t>Ali Raza</t>
  </si>
  <si>
    <t>Marketing</t>
  </si>
  <si>
    <t>Karachi</t>
  </si>
  <si>
    <t>Active</t>
  </si>
  <si>
    <t>Sara Khan</t>
  </si>
  <si>
    <t>IT</t>
  </si>
  <si>
    <t>Ahmed Iqbal</t>
  </si>
  <si>
    <t>Sales</t>
  </si>
  <si>
    <t>Fatima Noor</t>
  </si>
  <si>
    <t>Finance</t>
  </si>
  <si>
    <t>Resigned</t>
  </si>
  <si>
    <t>Bilal Ahmed</t>
  </si>
  <si>
    <t>Ayesha Malik</t>
  </si>
  <si>
    <t>Faisalabad</t>
  </si>
  <si>
    <t>Usman Tariq</t>
  </si>
  <si>
    <t>Islamabad</t>
  </si>
  <si>
    <t>Hina Shahid</t>
  </si>
  <si>
    <t>Zain Abbas</t>
  </si>
  <si>
    <t>HR</t>
  </si>
  <si>
    <t>Lahore</t>
  </si>
  <si>
    <t>Mahnoor Fahad</t>
  </si>
  <si>
    <t>Kamran Sheikh</t>
  </si>
  <si>
    <t>Nida Yousaf</t>
  </si>
  <si>
    <t>Adeel Rasheed</t>
  </si>
  <si>
    <t>Mariam Farooq</t>
  </si>
  <si>
    <t>Waqas Ali</t>
  </si>
  <si>
    <t>Rabia Hussain</t>
  </si>
  <si>
    <t>Faizan Sheikh</t>
  </si>
  <si>
    <t>Sadia Iqbal</t>
  </si>
  <si>
    <t>Junaid Akhtar</t>
  </si>
  <si>
    <t>Noor ul Ain</t>
  </si>
  <si>
    <t>Hassan Raza</t>
  </si>
  <si>
    <t>Komal Zafar</t>
  </si>
  <si>
    <t>Shahzaib Khan</t>
  </si>
  <si>
    <t>Iqra Batool</t>
  </si>
  <si>
    <t>Talha Mehmood</t>
  </si>
  <si>
    <t>Sana Riaz</t>
  </si>
  <si>
    <t>Danish Elahi</t>
  </si>
  <si>
    <t>Amna Siddiqui</t>
  </si>
  <si>
    <t>Farhan Aslam</t>
  </si>
  <si>
    <t>Laiba Nasir</t>
  </si>
  <si>
    <t>Omar Farooq</t>
  </si>
  <si>
    <t>Zoya Aslam</t>
  </si>
  <si>
    <t>Bilawal Khan</t>
  </si>
  <si>
    <t>Sundas Iqbal</t>
  </si>
  <si>
    <t>Haris Malik</t>
  </si>
  <si>
    <t>Areeba Noor</t>
  </si>
  <si>
    <t>Salman Yousaf</t>
  </si>
  <si>
    <t>Anum Khalid</t>
  </si>
  <si>
    <t>Rehan Baig</t>
  </si>
  <si>
    <t>Tania Sheikh</t>
  </si>
  <si>
    <t>HR ANALYTICS DASHBOARD</t>
  </si>
  <si>
    <t>Total Employees</t>
  </si>
  <si>
    <t>Active Employees</t>
  </si>
  <si>
    <t>Resigned Employees</t>
  </si>
  <si>
    <t>Average Salary</t>
  </si>
  <si>
    <t>Average Attendance %</t>
  </si>
  <si>
    <t>Row Labels</t>
  </si>
  <si>
    <t>Grand Total</t>
  </si>
  <si>
    <t>Count of Employee</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</si>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</sst>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1"/>
      <name val="Arial"/>
    </font>
    <font>
      <b/>
      <sz val="16"/>
      <name val="Arial"/>
      <family val="2"/>
    </font>
    <font>
      <b/>
      <sz val="20"/>
      <color rgb="FF1A4D8F"/>
      <name val="Arial"/>
      <family val="2"/>
    </font>
    <font>
      <b/>
      <sz val="16"/>
      <color theme="1"/>
      <name val="Calibri"/>
      <family val="2"/>
      <scheme val="minor"/>
    </font>
  </fonts>
  <fills count="4">
    <fill>
      <patternFill patternType="none"/>
    </fill>
    <fill>
      <patternFill patternType="gray125"/>
    </fill>
    <fill>
      <patternFill patternType="solid">
        <fgColor rgb="FF1A4D8F"/>
        <bgColor rgb="FF1A4D8F"/>
      </patternFill>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5" fillId="3"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[Final_HR_Dashboard_Project.xlsx]Pivot table dep-wise!PivotTable1</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3648293963254E-2"/>
          <c:y val="0.25402559055118112"/>
          <c:w val="0.78645603674540687"/>
          <c:h val="0.53774387576552929"/>
        </c:manualLayout>
      </c:layout>
      <c:barChart>
        <c:barDir val="col"/>
        <c:grouping val="clustered"/>
        <c:varyColors val="0"/>
        <c:ser>
          <c:idx val="0"/>
          <c:order val="0"/>
          <c:tx>
            <c:strRef>
              <c:f>'Pivot table dep-wise'!$B$3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dep-wise'!$A$4:$A$8</c:f>
              <c:strCache>
                <c:ptCount val="4"/>
                <c:pt idx="0">
                  <c:v>Finance</c:v>
                </c:pt>
                <c:pt idx="1">
                  <c:v>HR</c:v>
                </c:pt>
                <c:pt idx="2">
                  <c:v>Marketing</c:v>
                </c:pt>
                <c:pt idx="3">
                  <c:v>Sales</c:v>
                </c:pt>
              </c:strCache>
            </c:strRef>
          </c:cat>
          <c:val>
            <c:numRef>
              <c:f>'Pivot table dep-wise'!$B$4:$B$8</c:f>
              <c:numCache>
                <c:formatCode>General</c:formatCode>
                <c:ptCount val="4"/>
                <c:pt idx="0">
                  <c:v>2</c:v>
                </c:pt>
                <c:pt idx="1">
                  <c:v>3</c:v>
                </c:pt>
                <c:pt idx="2">
                  <c:v>1</c:v>
                </c:pt>
                <c:pt idx="3">
                  <c:v>1</c:v>
                </c:pt>
              </c:numCache>
            </c:numRef>
          </c:val>
          <c:extLst>
            <c:ext xmlns:c16="http://schemas.microsoft.com/office/drawing/2014/chart" uri="{C3380CC4-5D6E-409C-BE32-E72D297353CC}">
              <c16:uniqueId val="{00000000-CD92-470B-9C89-0ACC746F2147}"/>
            </c:ext>
          </c:extLst>
        </c:ser>
        <c:dLbls>
          <c:dLblPos val="outEnd"/>
          <c:showLegendKey val="0"/>
          <c:showVal val="1"/>
          <c:showCatName val="0"/>
          <c:showSerName val="0"/>
          <c:showPercent val="0"/>
          <c:showBubbleSize val="0"/>
        </c:dLbls>
        <c:gapWidth val="315"/>
        <c:overlap val="-40"/>
        <c:axId val="534640568"/>
        <c:axId val="534641288"/>
      </c:barChart>
      <c:catAx>
        <c:axId val="534640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4641288"/>
        <c:crosses val="autoZero"/>
        <c:auto val="1"/>
        <c:lblAlgn val="ctr"/>
        <c:lblOffset val="100"/>
        <c:noMultiLvlLbl val="0"/>
      </c:catAx>
      <c:valAx>
        <c:axId val="5346412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464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[Final_HR_Dashboard_Project.xlsx]Pivot table city-salaray!PivotTable2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city-salaray'!$B$3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3C-4D36-9B7F-D898DABF9DC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3C-4D36-9B7F-D898DABF9DC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3C-4D36-9B7F-D898DABF9DC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13C-4D36-9B7F-D898DABF9D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city-salaray'!$A$4:$A$7</c:f>
              <c:strCache>
                <c:ptCount val="3"/>
                <c:pt idx="0">
                  <c:v>Faisalabad</c:v>
                </c:pt>
                <c:pt idx="1">
                  <c:v>Islamabad</c:v>
                </c:pt>
                <c:pt idx="2">
                  <c:v>Karachi</c:v>
                </c:pt>
              </c:strCache>
            </c:strRef>
          </c:cat>
          <c:val>
            <c:numRef>
              <c:f>'Pivot table city-salaray'!$B$4:$B$7</c:f>
              <c:numCache>
                <c:formatCode>General</c:formatCode>
                <c:ptCount val="3"/>
                <c:pt idx="0">
                  <c:v>76724</c:v>
                </c:pt>
                <c:pt idx="1">
                  <c:v>45486</c:v>
                </c:pt>
                <c:pt idx="2">
                  <c:v>89365</c:v>
                </c:pt>
              </c:numCache>
            </c:numRef>
          </c:val>
          <c:extLst>
            <c:ext xmlns:c16="http://schemas.microsoft.com/office/drawing/2014/chart" uri="{C3380CC4-5D6E-409C-BE32-E72D297353CC}">
              <c16:uniqueId val="{00000008-913C-4D36-9B7F-D898DABF9DC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25400</xdr:colOff>
      <xdr:row>9</xdr:row>
      <xdr:rowOff>44450</xdr:rowOff>
    </xdr:from>
    <xdr:to>
      <xdr:col>1</xdr:col>
      <xdr:colOff>882650</xdr:colOff>
      <xdr:row>24</xdr:row>
      <xdr:rowOff>25400</xdr:rowOff>
    </xdr:to>
    <xdr:graphicFrame macro="">
      <xdr:nvGraphicFramePr>
        <xdr:cNvPr id="2" name="Chart 1">
          <a:extLst>
            <a:ext uri="{FF2B5EF4-FFF2-40B4-BE49-F238E27FC236}">
              <a16:creationId xmlns:a16="http://schemas.microsoft.com/office/drawing/2014/main" id="{63CBB1C6-8A1F-4024-B97C-358BDFF5B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508000</xdr:colOff>
      <xdr:row>9</xdr:row>
      <xdr:rowOff>76200</xdr:rowOff>
    </xdr:from>
    <xdr:to>
      <xdr:col>13</xdr:col>
      <xdr:colOff>203200</xdr:colOff>
      <xdr:row>24</xdr:row>
      <xdr:rowOff>57150</xdr:rowOff>
    </xdr:to>
    <xdr:graphicFrame macro="">
      <xdr:nvGraphicFramePr>
        <xdr:cNvPr id="10" name="Chart 9">
          <a:extLst>
            <a:ext uri="{FF2B5EF4-FFF2-40B4-BE49-F238E27FC236}">
              <a16:creationId xmlns:a16="http://schemas.microsoft.com/office/drawing/2014/main" id="{AF12F9CC-C637-43F5-AE3B-15A48E2EC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234950</xdr:colOff>
      <xdr:row>9</xdr:row>
      <xdr:rowOff>6350</xdr:rowOff>
    </xdr:from>
    <xdr:to>
      <xdr:col>2</xdr:col>
      <xdr:colOff>254000</xdr:colOff>
      <xdr:row>22</xdr:row>
      <xdr:rowOff>136525</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56A6A436-239A-DB56-6CB1-84FE19F7A2B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949700" y="2209800"/>
              <a:ext cx="11366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450850</xdr:colOff>
      <xdr:row>12</xdr:row>
      <xdr:rowOff>0</xdr:rowOff>
    </xdr:from>
    <xdr:to>
      <xdr:col>6</xdr:col>
      <xdr:colOff>463550</xdr:colOff>
      <xdr:row>25</xdr:row>
      <xdr:rowOff>130175</xdr:rowOff>
    </xdr:to>
    <mc:AlternateContent xmlns:mc="http://schemas.openxmlformats.org/markup-compatibility/2006">
      <mc:Choice xmlns:a14="http://schemas.microsoft.com/office/drawing/2010/main" Requires="a14">
        <xdr:graphicFrame macro="">
          <xdr:nvGraphicFramePr>
            <xdr:cNvPr id="13" name="Join Year">
              <a:extLst>
                <a:ext uri="{FF2B5EF4-FFF2-40B4-BE49-F238E27FC236}">
                  <a16:creationId xmlns:a16="http://schemas.microsoft.com/office/drawing/2014/main" id="{73E1F46B-19FE-E897-5C3D-1B37FF538175}"/>
                </a:ext>
              </a:extLst>
            </xdr:cNvPr>
            <xdr:cNvGraphicFramePr/>
          </xdr:nvGraphicFramePr>
          <xdr:xfrm>
            <a:off x="0" y="0"/>
            <a:ext cx="0" cy="0"/>
          </xdr:xfrm>
          <a:graphic>
            <a:graphicData uri="http://schemas.microsoft.com/office/drawing/2010/slicer">
              <sle:slicer xmlns:sle="http://schemas.microsoft.com/office/drawing/2010/slicer" name="Join Year"/>
            </a:graphicData>
          </a:graphic>
        </xdr:graphicFrame>
      </mc:Choice>
      <mc:Fallback>
        <xdr:sp macro="" textlink="">
          <xdr:nvSpPr>
            <xdr:cNvPr id="0" name=""/>
            <xdr:cNvSpPr>
              <a:spLocks noTextEdit="1"/>
            </xdr:cNvSpPr>
          </xdr:nvSpPr>
          <xdr:spPr>
            <a:xfrm>
              <a:off x="6502400" y="2755900"/>
              <a:ext cx="12319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480" refreshedDate="46260.693589699076" createdVersion="8" refreshedVersion="8" minRefreshableVersion="3" recordCount="40" xr:uid="{31F17225-D5C5-41E3-AE7B-9B2425463926}">
  <cacheSource type="worksheet">
    <worksheetSource ref="A1:G41" sheet="Employee Data"/>
  </cacheSource>
  <cacheFields count="7">
    <cacheField name="Employee" numFmtId="0">
      <sharedItems count="40">
        <s v="Ali Raza"/>
        <s v="Sara Khan"/>
        <s v="Ahmed Iqbal"/>
        <s v="Fatima Noor"/>
        <s v="Bilal Ahmed"/>
        <s v="Ayesha Malik"/>
        <s v="Usman Tariq"/>
        <s v="Hina Shahid"/>
        <s v="Zain Abbas"/>
        <s v="Mahnoor Fahad"/>
        <s v="Kamran Sheikh"/>
        <s v="Nida Yousaf"/>
        <s v="Adeel Rasheed"/>
        <s v="Mariam Farooq"/>
        <s v="Waqas Ali"/>
        <s v="Rabia Hussain"/>
        <s v="Faizan Sheikh"/>
        <s v="Sadia Iqbal"/>
        <s v="Junaid Akhtar"/>
        <s v="Noor ul Ain"/>
        <s v="Hassan Raza"/>
        <s v="Komal Zafar"/>
        <s v="Shahzaib Khan"/>
        <s v="Iqra Batool"/>
        <s v="Talha Mehmood"/>
        <s v="Sana Riaz"/>
        <s v="Danish Elahi"/>
        <s v="Amna Siddiqui"/>
        <s v="Farhan Aslam"/>
        <s v="Laiba Nasir"/>
        <s v="Omar Farooq"/>
        <s v="Zoya Aslam"/>
        <s v="Bilawal Khan"/>
        <s v="Sundas Iqbal"/>
        <s v="Haris Malik"/>
        <s v="Areeba Noor"/>
        <s v="Salman Yousaf"/>
        <s v="Anum Khalid"/>
        <s v="Rehan Baig"/>
        <s v="Tania Sheikh"/>
      </sharedItems>
    </cacheField>
    <cacheField name="Department" numFmtId="0">
      <sharedItems count="5">
        <s v="Marketing"/>
        <s v="IT"/>
        <s v="Sales"/>
        <s v="Finance"/>
        <s v="HR"/>
      </sharedItems>
    </cacheField>
    <cacheField name="City" numFmtId="0">
      <sharedItems count="4">
        <s v="Karachi"/>
        <s v="Faisalabad"/>
        <s v="Islamabad"/>
        <s v="Lahore"/>
      </sharedItems>
    </cacheField>
    <cacheField name="Salary" numFmtId="0">
      <sharedItems containsSemiMixedTypes="0" containsString="0" containsNumber="1" containsInteger="1" minValue="41421" maxValue="94312" count="40">
        <n v="82727"/>
        <n v="76690"/>
        <n v="55285"/>
        <n v="80168"/>
        <n v="91849"/>
        <n v="43138"/>
        <n v="87013"/>
        <n v="94312"/>
        <n v="91715"/>
        <n v="75218"/>
        <n v="58967"/>
        <n v="52166"/>
        <n v="79831"/>
        <n v="41421"/>
        <n v="57956"/>
        <n v="74433"/>
        <n v="90229"/>
        <n v="69558"/>
        <n v="68768"/>
        <n v="83588"/>
        <n v="89365"/>
        <n v="50483"/>
        <n v="43212"/>
        <n v="74019"/>
        <n v="43052"/>
        <n v="72955"/>
        <n v="55556"/>
        <n v="73425"/>
        <n v="55424"/>
        <n v="79998"/>
        <n v="78160"/>
        <n v="70862"/>
        <n v="71244"/>
        <n v="89166"/>
        <n v="91447"/>
        <n v="58782"/>
        <n v="45486"/>
        <n v="76724"/>
        <n v="93548"/>
        <n v="55813"/>
      </sharedItems>
    </cacheField>
    <cacheField name="Attendance %" numFmtId="0">
      <sharedItems containsSemiMixedTypes="0" containsString="0" containsNumber="1" containsInteger="1" minValue="60" maxValue="100" count="26">
        <n v="97"/>
        <n v="91"/>
        <n v="94"/>
        <n v="89"/>
        <n v="86"/>
        <n v="68"/>
        <n v="72"/>
        <n v="76"/>
        <n v="67"/>
        <n v="84"/>
        <n v="71"/>
        <n v="74"/>
        <n v="64"/>
        <n v="66"/>
        <n v="100"/>
        <n v="73"/>
        <n v="99"/>
        <n v="77"/>
        <n v="88"/>
        <n v="85"/>
        <n v="60"/>
        <n v="62"/>
        <n v="63"/>
        <n v="87"/>
        <n v="81"/>
        <n v="61"/>
      </sharedItems>
    </cacheField>
    <cacheField name="Status" numFmtId="0">
      <sharedItems count="2">
        <s v="Active"/>
        <s v="Resigned"/>
      </sharedItems>
    </cacheField>
    <cacheField name="Join Year" numFmtId="0">
      <sharedItems containsSemiMixedTypes="0" containsString="0" containsNumber="1" containsInteger="1" minValue="2016" maxValue="2024" count="9">
        <n v="2022"/>
        <n v="2024"/>
        <n v="2018"/>
        <n v="2021"/>
        <n v="2016"/>
        <n v="2019"/>
        <n v="2023"/>
        <n v="2020"/>
        <n v="2017"/>
      </sharedItems>
    </cacheField>
  </cacheFields>
  <extLst>
    <ext xmlns:x14="http://schemas.microsoft.com/office/spreadsheetml/2009/9/main" uri="{725AE2AE-9491-48be-B2B4-4EB974FC3084}">
      <x14:pivotCacheDefinition pivotCacheId="2081411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x v="0"/>
    <x v="0"/>
  </r>
  <r>
    <x v="1"/>
    <x v="1"/>
    <x v="0"/>
    <x v="1"/>
    <x v="1"/>
    <x v="0"/>
    <x v="1"/>
  </r>
  <r>
    <x v="2"/>
    <x v="2"/>
    <x v="0"/>
    <x v="2"/>
    <x v="2"/>
    <x v="0"/>
    <x v="1"/>
  </r>
  <r>
    <x v="3"/>
    <x v="3"/>
    <x v="0"/>
    <x v="3"/>
    <x v="3"/>
    <x v="1"/>
    <x v="2"/>
  </r>
  <r>
    <x v="4"/>
    <x v="2"/>
    <x v="0"/>
    <x v="4"/>
    <x v="4"/>
    <x v="1"/>
    <x v="3"/>
  </r>
  <r>
    <x v="5"/>
    <x v="0"/>
    <x v="1"/>
    <x v="5"/>
    <x v="5"/>
    <x v="0"/>
    <x v="0"/>
  </r>
  <r>
    <x v="6"/>
    <x v="1"/>
    <x v="2"/>
    <x v="6"/>
    <x v="6"/>
    <x v="0"/>
    <x v="0"/>
  </r>
  <r>
    <x v="7"/>
    <x v="1"/>
    <x v="0"/>
    <x v="7"/>
    <x v="4"/>
    <x v="0"/>
    <x v="4"/>
  </r>
  <r>
    <x v="8"/>
    <x v="4"/>
    <x v="3"/>
    <x v="8"/>
    <x v="7"/>
    <x v="1"/>
    <x v="3"/>
  </r>
  <r>
    <x v="9"/>
    <x v="2"/>
    <x v="1"/>
    <x v="9"/>
    <x v="8"/>
    <x v="0"/>
    <x v="5"/>
  </r>
  <r>
    <x v="10"/>
    <x v="4"/>
    <x v="1"/>
    <x v="10"/>
    <x v="5"/>
    <x v="0"/>
    <x v="6"/>
  </r>
  <r>
    <x v="11"/>
    <x v="2"/>
    <x v="0"/>
    <x v="11"/>
    <x v="9"/>
    <x v="0"/>
    <x v="3"/>
  </r>
  <r>
    <x v="12"/>
    <x v="0"/>
    <x v="0"/>
    <x v="12"/>
    <x v="5"/>
    <x v="0"/>
    <x v="5"/>
  </r>
  <r>
    <x v="13"/>
    <x v="2"/>
    <x v="3"/>
    <x v="13"/>
    <x v="10"/>
    <x v="0"/>
    <x v="2"/>
  </r>
  <r>
    <x v="14"/>
    <x v="0"/>
    <x v="0"/>
    <x v="14"/>
    <x v="11"/>
    <x v="0"/>
    <x v="7"/>
  </r>
  <r>
    <x v="15"/>
    <x v="4"/>
    <x v="1"/>
    <x v="15"/>
    <x v="7"/>
    <x v="0"/>
    <x v="0"/>
  </r>
  <r>
    <x v="16"/>
    <x v="0"/>
    <x v="0"/>
    <x v="16"/>
    <x v="12"/>
    <x v="0"/>
    <x v="7"/>
  </r>
  <r>
    <x v="17"/>
    <x v="4"/>
    <x v="2"/>
    <x v="17"/>
    <x v="13"/>
    <x v="0"/>
    <x v="5"/>
  </r>
  <r>
    <x v="18"/>
    <x v="0"/>
    <x v="0"/>
    <x v="18"/>
    <x v="11"/>
    <x v="0"/>
    <x v="4"/>
  </r>
  <r>
    <x v="19"/>
    <x v="2"/>
    <x v="1"/>
    <x v="19"/>
    <x v="14"/>
    <x v="0"/>
    <x v="5"/>
  </r>
  <r>
    <x v="20"/>
    <x v="3"/>
    <x v="0"/>
    <x v="20"/>
    <x v="15"/>
    <x v="1"/>
    <x v="8"/>
  </r>
  <r>
    <x v="21"/>
    <x v="2"/>
    <x v="0"/>
    <x v="21"/>
    <x v="1"/>
    <x v="0"/>
    <x v="2"/>
  </r>
  <r>
    <x v="22"/>
    <x v="4"/>
    <x v="3"/>
    <x v="22"/>
    <x v="16"/>
    <x v="0"/>
    <x v="1"/>
  </r>
  <r>
    <x v="23"/>
    <x v="2"/>
    <x v="3"/>
    <x v="23"/>
    <x v="13"/>
    <x v="0"/>
    <x v="1"/>
  </r>
  <r>
    <x v="24"/>
    <x v="1"/>
    <x v="3"/>
    <x v="24"/>
    <x v="17"/>
    <x v="0"/>
    <x v="4"/>
  </r>
  <r>
    <x v="25"/>
    <x v="3"/>
    <x v="0"/>
    <x v="25"/>
    <x v="15"/>
    <x v="0"/>
    <x v="6"/>
  </r>
  <r>
    <x v="26"/>
    <x v="4"/>
    <x v="1"/>
    <x v="26"/>
    <x v="17"/>
    <x v="0"/>
    <x v="6"/>
  </r>
  <r>
    <x v="27"/>
    <x v="4"/>
    <x v="1"/>
    <x v="27"/>
    <x v="18"/>
    <x v="1"/>
    <x v="2"/>
  </r>
  <r>
    <x v="28"/>
    <x v="4"/>
    <x v="0"/>
    <x v="28"/>
    <x v="19"/>
    <x v="0"/>
    <x v="2"/>
  </r>
  <r>
    <x v="29"/>
    <x v="1"/>
    <x v="1"/>
    <x v="29"/>
    <x v="20"/>
    <x v="0"/>
    <x v="4"/>
  </r>
  <r>
    <x v="30"/>
    <x v="4"/>
    <x v="1"/>
    <x v="30"/>
    <x v="21"/>
    <x v="0"/>
    <x v="6"/>
  </r>
  <r>
    <x v="31"/>
    <x v="2"/>
    <x v="1"/>
    <x v="31"/>
    <x v="22"/>
    <x v="0"/>
    <x v="4"/>
  </r>
  <r>
    <x v="32"/>
    <x v="2"/>
    <x v="2"/>
    <x v="32"/>
    <x v="7"/>
    <x v="0"/>
    <x v="2"/>
  </r>
  <r>
    <x v="33"/>
    <x v="4"/>
    <x v="3"/>
    <x v="33"/>
    <x v="23"/>
    <x v="0"/>
    <x v="2"/>
  </r>
  <r>
    <x v="34"/>
    <x v="4"/>
    <x v="3"/>
    <x v="34"/>
    <x v="24"/>
    <x v="0"/>
    <x v="7"/>
  </r>
  <r>
    <x v="35"/>
    <x v="0"/>
    <x v="0"/>
    <x v="35"/>
    <x v="3"/>
    <x v="1"/>
    <x v="6"/>
  </r>
  <r>
    <x v="36"/>
    <x v="2"/>
    <x v="2"/>
    <x v="36"/>
    <x v="21"/>
    <x v="0"/>
    <x v="8"/>
  </r>
  <r>
    <x v="37"/>
    <x v="1"/>
    <x v="1"/>
    <x v="37"/>
    <x v="10"/>
    <x v="0"/>
    <x v="8"/>
  </r>
  <r>
    <x v="38"/>
    <x v="3"/>
    <x v="1"/>
    <x v="38"/>
    <x v="25"/>
    <x v="0"/>
    <x v="7"/>
  </r>
  <r>
    <x v="39"/>
    <x v="4"/>
    <x v="3"/>
    <x v="3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074F6-0DC5-4541-BBDC-77817A2F7F5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7">
    <pivotField dataField="1" showAll="0"/>
    <pivotField axis="axisRow" showAll="0">
      <items count="6">
        <item x="3"/>
        <item x="4"/>
        <item x="1"/>
        <item x="0"/>
        <item x="2"/>
        <item t="default"/>
      </items>
    </pivotField>
    <pivotField showAll="0"/>
    <pivotField showAll="0"/>
    <pivotField showAll="0"/>
    <pivotField showAll="0">
      <items count="3">
        <item h="1" x="0"/>
        <item x="1"/>
        <item t="default"/>
      </items>
    </pivotField>
    <pivotField showAll="0"/>
  </pivotFields>
  <rowFields count="1">
    <field x="1"/>
  </rowFields>
  <rowItems count="5">
    <i>
      <x/>
    </i>
    <i>
      <x v="1"/>
    </i>
    <i>
      <x v="3"/>
    </i>
    <i>
      <x v="4"/>
    </i>
    <i t="grand">
      <x/>
    </i>
  </rowItems>
  <colItems count="1">
    <i/>
  </colItems>
  <dataFields count="1">
    <dataField name="Count of Employee"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AA32D-7E72-442B-A509-7F77A1DB298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7">
    <pivotField showAll="0"/>
    <pivotField showAll="0"/>
    <pivotField axis="axisRow" showAll="0">
      <items count="5">
        <item x="1"/>
        <item x="2"/>
        <item x="0"/>
        <item x="3"/>
        <item t="default"/>
      </items>
    </pivotField>
    <pivotField dataField="1" showAll="0"/>
    <pivotField showAll="0"/>
    <pivotField showAll="0"/>
    <pivotField showAll="0">
      <items count="10">
        <item h="1" x="4"/>
        <item x="8"/>
        <item h="1" x="2"/>
        <item h="1" x="5"/>
        <item h="1" x="7"/>
        <item h="1" x="3"/>
        <item h="1" x="0"/>
        <item h="1" x="6"/>
        <item h="1" x="1"/>
        <item t="default"/>
      </items>
    </pivotField>
  </pivotFields>
  <rowFields count="1">
    <field x="2"/>
  </rowFields>
  <rowItems count="4">
    <i>
      <x/>
    </i>
    <i>
      <x v="1"/>
    </i>
    <i>
      <x v="2"/>
    </i>
    <i t="grand">
      <x/>
    </i>
  </rowItems>
  <colItems count="1">
    <i/>
  </colItems>
  <dataFields count="1">
    <dataField name="Sum of Salary" fld="3" baseField="0" baseItem="0"/>
  </dataFields>
  <chartFormats count="16">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5134B02-A4DD-4A9F-8C53-7989A0976752}" sourceName="Status">
  <pivotTables>
    <pivotTable tabId="3" name="PivotTable1"/>
  </pivotTables>
  <data>
    <tabular pivotCacheId="208141159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_Year" xr10:uid="{B3A56EC2-7801-4D80-8482-25B309A602D9}" sourceName="Join Year">
  <pivotTables>
    <pivotTable tabId="4" name="PivotTable2"/>
  </pivotTables>
  <data>
    <tabular pivotCacheId="2081411599">
      <items count="9">
        <i x="4"/>
        <i x="8" s="1"/>
        <i x="2"/>
        <i x="5"/>
        <i x="7"/>
        <i x="3"/>
        <i x="0"/>
        <i x="6"/>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5C149FA-30DD-431C-8D5C-516831B924F1}" cache="Slicer_Status" caption="Status" rowHeight="241300"/>
  <slicer name="Join Year" xr10:uid="{7BD7581F-6390-48AB-8B9E-2A0501DDFA0F}" cache="Slicer_Join_Year" caption="Join 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workbookViewId="0"/>
  </sheetViews>
  <sheetFormatPr defaultRowHeight="14.5" x14ac:dyDescent="0.35"/>
  <cols>
    <col min="1" max="1" width="16" customWidth="1"/>
    <col min="2" max="3" width="14" customWidth="1"/>
    <col min="4" max="4" width="12" customWidth="1"/>
    <col min="5" max="5" width="14" customWidth="1"/>
    <col min="6" max="7" width="12" customWidth="1"/>
  </cols>
  <sheetData>
    <row r="1" spans="1:7" x14ac:dyDescent="0.35">
      <c r="A1" s="1" t="s">
        <v>0</v>
      </c>
      <c r="B1" s="1" t="s">
        <v>1</v>
      </c>
      <c r="C1" s="1" t="s">
        <v>2</v>
      </c>
      <c r="D1" s="1" t="s">
        <v>3</v>
      </c>
      <c r="E1" s="1" t="s">
        <v>4</v>
      </c>
      <c r="F1" s="1" t="s">
        <v>5</v>
      </c>
      <c r="G1" s="1" t="s">
        <v>6</v>
      </c>
    </row>
    <row r="2" spans="1:7" x14ac:dyDescent="0.35">
      <c r="A2" s="2" t="s">
        <v>7</v>
      </c>
      <c r="B2" s="2" t="s">
        <v>8</v>
      </c>
      <c r="C2" s="2" t="s">
        <v>9</v>
      </c>
      <c r="D2" s="2">
        <v>82727</v>
      </c>
      <c r="E2" s="2">
        <v>97</v>
      </c>
      <c r="F2" s="2" t="s">
        <v>10</v>
      </c>
      <c r="G2" s="2">
        <v>2022</v>
      </c>
    </row>
    <row r="3" spans="1:7" x14ac:dyDescent="0.35">
      <c r="A3" s="2" t="s">
        <v>11</v>
      </c>
      <c r="B3" s="2" t="s">
        <v>12</v>
      </c>
      <c r="C3" s="2" t="s">
        <v>9</v>
      </c>
      <c r="D3" s="2">
        <v>76690</v>
      </c>
      <c r="E3" s="2">
        <v>91</v>
      </c>
      <c r="F3" s="2" t="s">
        <v>10</v>
      </c>
      <c r="G3" s="2">
        <v>2024</v>
      </c>
    </row>
    <row r="4" spans="1:7" x14ac:dyDescent="0.35">
      <c r="A4" s="2" t="s">
        <v>13</v>
      </c>
      <c r="B4" s="2" t="s">
        <v>14</v>
      </c>
      <c r="C4" s="2" t="s">
        <v>9</v>
      </c>
      <c r="D4" s="2">
        <v>55285</v>
      </c>
      <c r="E4" s="2">
        <v>94</v>
      </c>
      <c r="F4" s="2" t="s">
        <v>10</v>
      </c>
      <c r="G4" s="2">
        <v>2024</v>
      </c>
    </row>
    <row r="5" spans="1:7" x14ac:dyDescent="0.35">
      <c r="A5" s="2" t="s">
        <v>15</v>
      </c>
      <c r="B5" s="2" t="s">
        <v>16</v>
      </c>
      <c r="C5" s="2" t="s">
        <v>9</v>
      </c>
      <c r="D5" s="2">
        <v>80168</v>
      </c>
      <c r="E5" s="2">
        <v>89</v>
      </c>
      <c r="F5" s="2" t="s">
        <v>17</v>
      </c>
      <c r="G5" s="2">
        <v>2018</v>
      </c>
    </row>
    <row r="6" spans="1:7" x14ac:dyDescent="0.35">
      <c r="A6" s="2" t="s">
        <v>18</v>
      </c>
      <c r="B6" s="2" t="s">
        <v>14</v>
      </c>
      <c r="C6" s="2" t="s">
        <v>9</v>
      </c>
      <c r="D6" s="2">
        <v>91849</v>
      </c>
      <c r="E6" s="2">
        <v>86</v>
      </c>
      <c r="F6" s="2" t="s">
        <v>17</v>
      </c>
      <c r="G6" s="2">
        <v>2021</v>
      </c>
    </row>
    <row r="7" spans="1:7" x14ac:dyDescent="0.35">
      <c r="A7" s="2" t="s">
        <v>19</v>
      </c>
      <c r="B7" s="2" t="s">
        <v>8</v>
      </c>
      <c r="C7" s="2" t="s">
        <v>20</v>
      </c>
      <c r="D7" s="2">
        <v>43138</v>
      </c>
      <c r="E7" s="2">
        <v>68</v>
      </c>
      <c r="F7" s="2" t="s">
        <v>10</v>
      </c>
      <c r="G7" s="2">
        <v>2022</v>
      </c>
    </row>
    <row r="8" spans="1:7" x14ac:dyDescent="0.35">
      <c r="A8" s="2" t="s">
        <v>21</v>
      </c>
      <c r="B8" s="2" t="s">
        <v>12</v>
      </c>
      <c r="C8" s="2" t="s">
        <v>22</v>
      </c>
      <c r="D8" s="2">
        <v>87013</v>
      </c>
      <c r="E8" s="2">
        <v>72</v>
      </c>
      <c r="F8" s="2" t="s">
        <v>10</v>
      </c>
      <c r="G8" s="2">
        <v>2022</v>
      </c>
    </row>
    <row r="9" spans="1:7" x14ac:dyDescent="0.35">
      <c r="A9" s="2" t="s">
        <v>23</v>
      </c>
      <c r="B9" s="2" t="s">
        <v>12</v>
      </c>
      <c r="C9" s="2" t="s">
        <v>9</v>
      </c>
      <c r="D9" s="2">
        <v>94312</v>
      </c>
      <c r="E9" s="2">
        <v>86</v>
      </c>
      <c r="F9" s="2" t="s">
        <v>10</v>
      </c>
      <c r="G9" s="2">
        <v>2016</v>
      </c>
    </row>
    <row r="10" spans="1:7" x14ac:dyDescent="0.35">
      <c r="A10" s="2" t="s">
        <v>24</v>
      </c>
      <c r="B10" s="2" t="s">
        <v>25</v>
      </c>
      <c r="C10" s="2" t="s">
        <v>26</v>
      </c>
      <c r="D10" s="2">
        <v>91715</v>
      </c>
      <c r="E10" s="2">
        <v>76</v>
      </c>
      <c r="F10" s="2" t="s">
        <v>17</v>
      </c>
      <c r="G10" s="2">
        <v>2021</v>
      </c>
    </row>
    <row r="11" spans="1:7" x14ac:dyDescent="0.35">
      <c r="A11" s="2" t="s">
        <v>27</v>
      </c>
      <c r="B11" s="2" t="s">
        <v>14</v>
      </c>
      <c r="C11" s="2" t="s">
        <v>20</v>
      </c>
      <c r="D11" s="2">
        <v>75218</v>
      </c>
      <c r="E11" s="2">
        <v>67</v>
      </c>
      <c r="F11" s="2" t="s">
        <v>10</v>
      </c>
      <c r="G11" s="2">
        <v>2019</v>
      </c>
    </row>
    <row r="12" spans="1:7" x14ac:dyDescent="0.35">
      <c r="A12" s="2" t="s">
        <v>28</v>
      </c>
      <c r="B12" s="2" t="s">
        <v>25</v>
      </c>
      <c r="C12" s="2" t="s">
        <v>20</v>
      </c>
      <c r="D12" s="2">
        <v>58967</v>
      </c>
      <c r="E12" s="2">
        <v>68</v>
      </c>
      <c r="F12" s="2" t="s">
        <v>10</v>
      </c>
      <c r="G12" s="2">
        <v>2023</v>
      </c>
    </row>
    <row r="13" spans="1:7" x14ac:dyDescent="0.35">
      <c r="A13" s="2" t="s">
        <v>29</v>
      </c>
      <c r="B13" s="2" t="s">
        <v>14</v>
      </c>
      <c r="C13" s="2" t="s">
        <v>9</v>
      </c>
      <c r="D13" s="2">
        <v>52166</v>
      </c>
      <c r="E13" s="2">
        <v>84</v>
      </c>
      <c r="F13" s="2" t="s">
        <v>10</v>
      </c>
      <c r="G13" s="2">
        <v>2021</v>
      </c>
    </row>
    <row r="14" spans="1:7" x14ac:dyDescent="0.35">
      <c r="A14" s="2" t="s">
        <v>30</v>
      </c>
      <c r="B14" s="2" t="s">
        <v>8</v>
      </c>
      <c r="C14" s="2" t="s">
        <v>9</v>
      </c>
      <c r="D14" s="2">
        <v>79831</v>
      </c>
      <c r="E14" s="2">
        <v>68</v>
      </c>
      <c r="F14" s="2" t="s">
        <v>10</v>
      </c>
      <c r="G14" s="2">
        <v>2019</v>
      </c>
    </row>
    <row r="15" spans="1:7" x14ac:dyDescent="0.35">
      <c r="A15" s="2" t="s">
        <v>31</v>
      </c>
      <c r="B15" s="2" t="s">
        <v>14</v>
      </c>
      <c r="C15" s="2" t="s">
        <v>26</v>
      </c>
      <c r="D15" s="2">
        <v>41421</v>
      </c>
      <c r="E15" s="2">
        <v>71</v>
      </c>
      <c r="F15" s="2" t="s">
        <v>10</v>
      </c>
      <c r="G15" s="2">
        <v>2018</v>
      </c>
    </row>
    <row r="16" spans="1:7" x14ac:dyDescent="0.35">
      <c r="A16" s="2" t="s">
        <v>32</v>
      </c>
      <c r="B16" s="2" t="s">
        <v>8</v>
      </c>
      <c r="C16" s="2" t="s">
        <v>9</v>
      </c>
      <c r="D16" s="2">
        <v>57956</v>
      </c>
      <c r="E16" s="2">
        <v>74</v>
      </c>
      <c r="F16" s="2" t="s">
        <v>10</v>
      </c>
      <c r="G16" s="2">
        <v>2020</v>
      </c>
    </row>
    <row r="17" spans="1:7" x14ac:dyDescent="0.35">
      <c r="A17" s="2" t="s">
        <v>33</v>
      </c>
      <c r="B17" s="2" t="s">
        <v>25</v>
      </c>
      <c r="C17" s="2" t="s">
        <v>20</v>
      </c>
      <c r="D17" s="2">
        <v>74433</v>
      </c>
      <c r="E17" s="2">
        <v>76</v>
      </c>
      <c r="F17" s="2" t="s">
        <v>10</v>
      </c>
      <c r="G17" s="2">
        <v>2022</v>
      </c>
    </row>
    <row r="18" spans="1:7" x14ac:dyDescent="0.35">
      <c r="A18" s="2" t="s">
        <v>34</v>
      </c>
      <c r="B18" s="2" t="s">
        <v>8</v>
      </c>
      <c r="C18" s="2" t="s">
        <v>9</v>
      </c>
      <c r="D18" s="2">
        <v>90229</v>
      </c>
      <c r="E18" s="2">
        <v>64</v>
      </c>
      <c r="F18" s="2" t="s">
        <v>10</v>
      </c>
      <c r="G18" s="2">
        <v>2020</v>
      </c>
    </row>
    <row r="19" spans="1:7" x14ac:dyDescent="0.35">
      <c r="A19" s="2" t="s">
        <v>35</v>
      </c>
      <c r="B19" s="2" t="s">
        <v>25</v>
      </c>
      <c r="C19" s="2" t="s">
        <v>22</v>
      </c>
      <c r="D19" s="2">
        <v>69558</v>
      </c>
      <c r="E19" s="2">
        <v>66</v>
      </c>
      <c r="F19" s="2" t="s">
        <v>10</v>
      </c>
      <c r="G19" s="2">
        <v>2019</v>
      </c>
    </row>
    <row r="20" spans="1:7" x14ac:dyDescent="0.35">
      <c r="A20" s="2" t="s">
        <v>36</v>
      </c>
      <c r="B20" s="2" t="s">
        <v>8</v>
      </c>
      <c r="C20" s="2" t="s">
        <v>9</v>
      </c>
      <c r="D20" s="2">
        <v>68768</v>
      </c>
      <c r="E20" s="2">
        <v>74</v>
      </c>
      <c r="F20" s="2" t="s">
        <v>10</v>
      </c>
      <c r="G20" s="2">
        <v>2016</v>
      </c>
    </row>
    <row r="21" spans="1:7" x14ac:dyDescent="0.35">
      <c r="A21" s="2" t="s">
        <v>37</v>
      </c>
      <c r="B21" s="2" t="s">
        <v>14</v>
      </c>
      <c r="C21" s="2" t="s">
        <v>20</v>
      </c>
      <c r="D21" s="2">
        <v>83588</v>
      </c>
      <c r="E21" s="2">
        <v>100</v>
      </c>
      <c r="F21" s="2" t="s">
        <v>10</v>
      </c>
      <c r="G21" s="2">
        <v>2019</v>
      </c>
    </row>
    <row r="22" spans="1:7" x14ac:dyDescent="0.35">
      <c r="A22" s="2" t="s">
        <v>38</v>
      </c>
      <c r="B22" s="2" t="s">
        <v>16</v>
      </c>
      <c r="C22" s="2" t="s">
        <v>9</v>
      </c>
      <c r="D22" s="2">
        <v>89365</v>
      </c>
      <c r="E22" s="2">
        <v>73</v>
      </c>
      <c r="F22" s="2" t="s">
        <v>17</v>
      </c>
      <c r="G22" s="2">
        <v>2017</v>
      </c>
    </row>
    <row r="23" spans="1:7" x14ac:dyDescent="0.35">
      <c r="A23" s="2" t="s">
        <v>39</v>
      </c>
      <c r="B23" s="2" t="s">
        <v>14</v>
      </c>
      <c r="C23" s="2" t="s">
        <v>9</v>
      </c>
      <c r="D23" s="2">
        <v>50483</v>
      </c>
      <c r="E23" s="2">
        <v>91</v>
      </c>
      <c r="F23" s="2" t="s">
        <v>10</v>
      </c>
      <c r="G23" s="2">
        <v>2018</v>
      </c>
    </row>
    <row r="24" spans="1:7" x14ac:dyDescent="0.35">
      <c r="A24" s="2" t="s">
        <v>40</v>
      </c>
      <c r="B24" s="2" t="s">
        <v>25</v>
      </c>
      <c r="C24" s="2" t="s">
        <v>26</v>
      </c>
      <c r="D24" s="2">
        <v>43212</v>
      </c>
      <c r="E24" s="2">
        <v>99</v>
      </c>
      <c r="F24" s="2" t="s">
        <v>10</v>
      </c>
      <c r="G24" s="2">
        <v>2024</v>
      </c>
    </row>
    <row r="25" spans="1:7" x14ac:dyDescent="0.35">
      <c r="A25" s="2" t="s">
        <v>41</v>
      </c>
      <c r="B25" s="2" t="s">
        <v>14</v>
      </c>
      <c r="C25" s="2" t="s">
        <v>26</v>
      </c>
      <c r="D25" s="2">
        <v>74019</v>
      </c>
      <c r="E25" s="2">
        <v>66</v>
      </c>
      <c r="F25" s="2" t="s">
        <v>10</v>
      </c>
      <c r="G25" s="2">
        <v>2024</v>
      </c>
    </row>
    <row r="26" spans="1:7" x14ac:dyDescent="0.35">
      <c r="A26" s="2" t="s">
        <v>42</v>
      </c>
      <c r="B26" s="2" t="s">
        <v>12</v>
      </c>
      <c r="C26" s="2" t="s">
        <v>26</v>
      </c>
      <c r="D26" s="2">
        <v>43052</v>
      </c>
      <c r="E26" s="2">
        <v>77</v>
      </c>
      <c r="F26" s="2" t="s">
        <v>10</v>
      </c>
      <c r="G26" s="2">
        <v>2016</v>
      </c>
    </row>
    <row r="27" spans="1:7" x14ac:dyDescent="0.35">
      <c r="A27" s="2" t="s">
        <v>43</v>
      </c>
      <c r="B27" s="2" t="s">
        <v>16</v>
      </c>
      <c r="C27" s="2" t="s">
        <v>9</v>
      </c>
      <c r="D27" s="2">
        <v>72955</v>
      </c>
      <c r="E27" s="2">
        <v>73</v>
      </c>
      <c r="F27" s="2" t="s">
        <v>10</v>
      </c>
      <c r="G27" s="2">
        <v>2023</v>
      </c>
    </row>
    <row r="28" spans="1:7" x14ac:dyDescent="0.35">
      <c r="A28" s="2" t="s">
        <v>44</v>
      </c>
      <c r="B28" s="2" t="s">
        <v>25</v>
      </c>
      <c r="C28" s="2" t="s">
        <v>20</v>
      </c>
      <c r="D28" s="2">
        <v>55556</v>
      </c>
      <c r="E28" s="2">
        <v>77</v>
      </c>
      <c r="F28" s="2" t="s">
        <v>10</v>
      </c>
      <c r="G28" s="2">
        <v>2023</v>
      </c>
    </row>
    <row r="29" spans="1:7" x14ac:dyDescent="0.35">
      <c r="A29" s="2" t="s">
        <v>45</v>
      </c>
      <c r="B29" s="2" t="s">
        <v>25</v>
      </c>
      <c r="C29" s="2" t="s">
        <v>20</v>
      </c>
      <c r="D29" s="2">
        <v>73425</v>
      </c>
      <c r="E29" s="2">
        <v>88</v>
      </c>
      <c r="F29" s="2" t="s">
        <v>17</v>
      </c>
      <c r="G29" s="2">
        <v>2018</v>
      </c>
    </row>
    <row r="30" spans="1:7" x14ac:dyDescent="0.35">
      <c r="A30" s="2" t="s">
        <v>46</v>
      </c>
      <c r="B30" s="2" t="s">
        <v>25</v>
      </c>
      <c r="C30" s="2" t="s">
        <v>9</v>
      </c>
      <c r="D30" s="2">
        <v>55424</v>
      </c>
      <c r="E30" s="2">
        <v>85</v>
      </c>
      <c r="F30" s="2" t="s">
        <v>10</v>
      </c>
      <c r="G30" s="2">
        <v>2018</v>
      </c>
    </row>
    <row r="31" spans="1:7" x14ac:dyDescent="0.35">
      <c r="A31" s="2" t="s">
        <v>47</v>
      </c>
      <c r="B31" s="2" t="s">
        <v>12</v>
      </c>
      <c r="C31" s="2" t="s">
        <v>20</v>
      </c>
      <c r="D31" s="2">
        <v>79998</v>
      </c>
      <c r="E31" s="2">
        <v>60</v>
      </c>
      <c r="F31" s="2" t="s">
        <v>10</v>
      </c>
      <c r="G31" s="2">
        <v>2016</v>
      </c>
    </row>
    <row r="32" spans="1:7" x14ac:dyDescent="0.35">
      <c r="A32" s="2" t="s">
        <v>48</v>
      </c>
      <c r="B32" s="2" t="s">
        <v>25</v>
      </c>
      <c r="C32" s="2" t="s">
        <v>20</v>
      </c>
      <c r="D32" s="2">
        <v>78160</v>
      </c>
      <c r="E32" s="2">
        <v>62</v>
      </c>
      <c r="F32" s="2" t="s">
        <v>10</v>
      </c>
      <c r="G32" s="2">
        <v>2023</v>
      </c>
    </row>
    <row r="33" spans="1:7" x14ac:dyDescent="0.35">
      <c r="A33" s="2" t="s">
        <v>49</v>
      </c>
      <c r="B33" s="2" t="s">
        <v>14</v>
      </c>
      <c r="C33" s="2" t="s">
        <v>20</v>
      </c>
      <c r="D33" s="2">
        <v>70862</v>
      </c>
      <c r="E33" s="2">
        <v>63</v>
      </c>
      <c r="F33" s="2" t="s">
        <v>10</v>
      </c>
      <c r="G33" s="2">
        <v>2016</v>
      </c>
    </row>
    <row r="34" spans="1:7" x14ac:dyDescent="0.35">
      <c r="A34" s="2" t="s">
        <v>50</v>
      </c>
      <c r="B34" s="2" t="s">
        <v>14</v>
      </c>
      <c r="C34" s="2" t="s">
        <v>22</v>
      </c>
      <c r="D34" s="2">
        <v>71244</v>
      </c>
      <c r="E34" s="2">
        <v>76</v>
      </c>
      <c r="F34" s="2" t="s">
        <v>10</v>
      </c>
      <c r="G34" s="2">
        <v>2018</v>
      </c>
    </row>
    <row r="35" spans="1:7" x14ac:dyDescent="0.35">
      <c r="A35" s="2" t="s">
        <v>51</v>
      </c>
      <c r="B35" s="2" t="s">
        <v>25</v>
      </c>
      <c r="C35" s="2" t="s">
        <v>26</v>
      </c>
      <c r="D35" s="2">
        <v>89166</v>
      </c>
      <c r="E35" s="2">
        <v>87</v>
      </c>
      <c r="F35" s="2" t="s">
        <v>10</v>
      </c>
      <c r="G35" s="2">
        <v>2018</v>
      </c>
    </row>
    <row r="36" spans="1:7" x14ac:dyDescent="0.35">
      <c r="A36" s="2" t="s">
        <v>52</v>
      </c>
      <c r="B36" s="2" t="s">
        <v>25</v>
      </c>
      <c r="C36" s="2" t="s">
        <v>26</v>
      </c>
      <c r="D36" s="2">
        <v>91447</v>
      </c>
      <c r="E36" s="2">
        <v>81</v>
      </c>
      <c r="F36" s="2" t="s">
        <v>10</v>
      </c>
      <c r="G36" s="2">
        <v>2020</v>
      </c>
    </row>
    <row r="37" spans="1:7" x14ac:dyDescent="0.35">
      <c r="A37" s="2" t="s">
        <v>53</v>
      </c>
      <c r="B37" s="2" t="s">
        <v>8</v>
      </c>
      <c r="C37" s="2" t="s">
        <v>9</v>
      </c>
      <c r="D37" s="2">
        <v>58782</v>
      </c>
      <c r="E37" s="2">
        <v>89</v>
      </c>
      <c r="F37" s="2" t="s">
        <v>17</v>
      </c>
      <c r="G37" s="2">
        <v>2023</v>
      </c>
    </row>
    <row r="38" spans="1:7" x14ac:dyDescent="0.35">
      <c r="A38" s="2" t="s">
        <v>54</v>
      </c>
      <c r="B38" s="2" t="s">
        <v>14</v>
      </c>
      <c r="C38" s="2" t="s">
        <v>22</v>
      </c>
      <c r="D38" s="2">
        <v>45486</v>
      </c>
      <c r="E38" s="2">
        <v>62</v>
      </c>
      <c r="F38" s="2" t="s">
        <v>10</v>
      </c>
      <c r="G38" s="2">
        <v>2017</v>
      </c>
    </row>
    <row r="39" spans="1:7" x14ac:dyDescent="0.35">
      <c r="A39" s="2" t="s">
        <v>55</v>
      </c>
      <c r="B39" s="2" t="s">
        <v>12</v>
      </c>
      <c r="C39" s="2" t="s">
        <v>20</v>
      </c>
      <c r="D39" s="2">
        <v>76724</v>
      </c>
      <c r="E39" s="2">
        <v>71</v>
      </c>
      <c r="F39" s="2" t="s">
        <v>10</v>
      </c>
      <c r="G39" s="2">
        <v>2017</v>
      </c>
    </row>
    <row r="40" spans="1:7" x14ac:dyDescent="0.35">
      <c r="A40" s="2" t="s">
        <v>56</v>
      </c>
      <c r="B40" s="2" t="s">
        <v>16</v>
      </c>
      <c r="C40" s="2" t="s">
        <v>20</v>
      </c>
      <c r="D40" s="2">
        <v>93548</v>
      </c>
      <c r="E40" s="2">
        <v>61</v>
      </c>
      <c r="F40" s="2" t="s">
        <v>10</v>
      </c>
      <c r="G40" s="2">
        <v>2020</v>
      </c>
    </row>
    <row r="41" spans="1:7" x14ac:dyDescent="0.35">
      <c r="A41" s="2" t="s">
        <v>57</v>
      </c>
      <c r="B41" s="2" t="s">
        <v>25</v>
      </c>
      <c r="C41" s="2" t="s">
        <v>26</v>
      </c>
      <c r="D41" s="2">
        <v>55813</v>
      </c>
      <c r="E41" s="2">
        <v>94</v>
      </c>
      <c r="F41" s="2" t="s">
        <v>17</v>
      </c>
      <c r="G41" s="2">
        <v>2018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296D-160F-400A-979C-8E24E9D39381}">
  <dimension ref="A3:B8"/>
  <sheetViews>
    <sheetView workbookViewId="0">
      <selection activeCell="E9" sqref="E9"/>
    </sheetView>
  </sheetViews>
  <sheetFormatPr defaultRowHeight="14.5" x14ac:dyDescent="0.35"/>
  <cols>
    <col min="1" max="1" width="12.36328125" bestFit="1" customWidth="1"/>
    <col min="2" max="2" width="16.81640625" bestFit="1" customWidth="1"/>
  </cols>
  <sheetData>
    <row r="3" spans="1:2" x14ac:dyDescent="0.35">
      <c r="A3" s="6" t="s">
        <v>64</v>
      </c>
      <c r="B3" t="s">
        <v>66</v>
      </c>
    </row>
    <row r="4" spans="1:2" x14ac:dyDescent="0.35">
      <c r="A4" s="7" t="s">
        <v>16</v>
      </c>
      <c r="B4" s="8">
        <v>2</v>
      </c>
    </row>
    <row r="5" spans="1:2" x14ac:dyDescent="0.35">
      <c r="A5" s="7" t="s">
        <v>25</v>
      </c>
      <c r="B5" s="8">
        <v>3</v>
      </c>
    </row>
    <row r="6" spans="1:2" x14ac:dyDescent="0.35">
      <c r="A6" s="7" t="s">
        <v>8</v>
      </c>
      <c r="B6" s="8">
        <v>1</v>
      </c>
    </row>
    <row r="7" spans="1:2" x14ac:dyDescent="0.35">
      <c r="A7" s="7" t="s">
        <v>14</v>
      </c>
      <c r="B7" s="8">
        <v>1</v>
      </c>
    </row>
    <row r="8" spans="1:2" x14ac:dyDescent="0.35">
      <c r="A8" s="7" t="s">
        <v>65</v>
      </c>
      <c r="B8" s="8">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33DE-F9A1-4A7F-94E5-328F24330D85}">
  <dimension ref="A3:B7"/>
  <sheetViews>
    <sheetView workbookViewId="0">
      <selection activeCell="D15" sqref="D15"/>
    </sheetView>
  </sheetViews>
  <sheetFormatPr defaultRowHeight="14.5" x14ac:dyDescent="0.35"/>
  <cols>
    <col min="1" max="1" width="12.36328125" bestFit="1" customWidth="1"/>
    <col min="2" max="2" width="12.08984375" bestFit="1" customWidth="1"/>
  </cols>
  <sheetData>
    <row r="3" spans="1:2" x14ac:dyDescent="0.35">
      <c r="A3" s="6" t="s">
        <v>64</v>
      </c>
      <c r="B3" t="s">
        <v>67</v>
      </c>
    </row>
    <row r="4" spans="1:2" x14ac:dyDescent="0.35">
      <c r="A4" s="7" t="s">
        <v>20</v>
      </c>
      <c r="B4" s="8">
        <v>76724</v>
      </c>
    </row>
    <row r="5" spans="1:2" x14ac:dyDescent="0.35">
      <c r="A5" s="7" t="s">
        <v>22</v>
      </c>
      <c r="B5" s="8">
        <v>45486</v>
      </c>
    </row>
    <row r="6" spans="1:2" x14ac:dyDescent="0.35">
      <c r="A6" s="7" t="s">
        <v>9</v>
      </c>
      <c r="B6" s="8">
        <v>89365</v>
      </c>
    </row>
    <row r="7" spans="1:2" x14ac:dyDescent="0.35">
      <c r="A7" s="7" t="s">
        <v>65</v>
      </c>
      <c r="B7" s="8">
        <v>211575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election activeCell="R7" sqref="R7"/>
    </sheetView>
  </sheetViews>
  <sheetFormatPr defaultRowHeight="14.5" x14ac:dyDescent="0.35"/>
  <cols>
    <col min="1" max="1" width="53.1796875" bestFit="1" customWidth="1"/>
    <col min="2" max="2" width="16" customWidth="1"/>
  </cols>
  <sheetData>
    <row r="1" spans="1:2" ht="25" x14ac:dyDescent="0.5">
      <c r="A1" s="4" t="s">
        <v>58</v>
      </c>
    </row>
    <row r="3" spans="1:2" ht="21" x14ac:dyDescent="0.5">
      <c r="A3" s="3" t="s">
        <v>59</v>
      </c>
      <c r="B3" s="5">
        <f>COUNTA('Employee Data'!A2:A41)</f>
        <v>40</v>
      </c>
    </row>
    <row r="4" spans="1:2" ht="21" x14ac:dyDescent="0.5">
      <c r="A4" s="3" t="s">
        <v>60</v>
      </c>
      <c r="B4" s="5">
        <f>COUNTIF('Employee Data'!F2:F41,"Active")</f>
        <v>33</v>
      </c>
    </row>
    <row r="5" spans="1:2" ht="21" x14ac:dyDescent="0.5">
      <c r="A5" s="3" t="s">
        <v>61</v>
      </c>
      <c r="B5" s="5">
        <f>COUNTIF('Employee Data'!F2:F41,"Resigned")</f>
        <v>7</v>
      </c>
    </row>
    <row r="6" spans="1:2" ht="21" x14ac:dyDescent="0.5">
      <c r="A6" s="3" t="s">
        <v>62</v>
      </c>
      <c r="B6" s="5">
        <f>AVERAGE('Employee Data'!D2:D41)</f>
        <v>70593.824999999997</v>
      </c>
    </row>
    <row r="7" spans="1:2" ht="21" x14ac:dyDescent="0.5">
      <c r="A7" s="3" t="s">
        <v>63</v>
      </c>
      <c r="B7" s="5">
        <f>AVERAGE('Employee Data'!E2:E41)</f>
        <v>77.650000000000006</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 Data</vt:lpstr>
      <vt:lpstr>Pivot table dep-wise</vt:lpstr>
      <vt:lpstr>Pivot table city-salaray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naheedakhtar7952@gmail.com</cp:lastModifiedBy>
  <dcterms:created xsi:type="dcterms:W3CDTF">2026-08-26T06:02:39Z</dcterms:created>
  <dcterms:modified xsi:type="dcterms:W3CDTF">2026-08-26T12:02:26Z</dcterms:modified>
</cp:coreProperties>
</file>