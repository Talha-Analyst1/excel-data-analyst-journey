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P-TECH\Downloads\"/>
    </mc:Choice>
  </mc:AlternateContent>
  <xr:revisionPtr revIDLastSave="0" documentId="13_ncr:1_{B7EC78FA-C0AE-4C0C-89D8-9BF752A22374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Employee-Region" sheetId="1" r:id="rId1"/>
    <sheet name="Sales Records" sheetId="2" r:id="rId2"/>
  </sheets>
  <calcPr calcId="191029"/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2" i="2"/>
  <c r="E3" i="2"/>
  <c r="E4" i="2"/>
  <c r="E5" i="2"/>
  <c r="E6" i="2"/>
  <c r="E7" i="2"/>
  <c r="E2" i="2"/>
  <c r="D5" i="2"/>
  <c r="D6" i="2"/>
  <c r="D7" i="2"/>
  <c r="D4" i="2"/>
  <c r="D3" i="2"/>
  <c r="D2" i="2"/>
</calcChain>
</file>

<file path=xl/sharedStrings.xml><?xml version="1.0" encoding="utf-8"?>
<sst xmlns="http://schemas.openxmlformats.org/spreadsheetml/2006/main" count="41" uniqueCount="20">
  <si>
    <t>Employee</t>
  </si>
  <si>
    <t>Region</t>
  </si>
  <si>
    <t>Ali Raza</t>
  </si>
  <si>
    <t>North</t>
  </si>
  <si>
    <t>Sara Khan</t>
  </si>
  <si>
    <t>South</t>
  </si>
  <si>
    <t>Ahmed Iqbal</t>
  </si>
  <si>
    <t>East</t>
  </si>
  <si>
    <t>Fatima Noor</t>
  </si>
  <si>
    <t>West</t>
  </si>
  <si>
    <t>Bilal Ahmed</t>
  </si>
  <si>
    <t>Ayesha Malik</t>
  </si>
  <si>
    <t>Q1</t>
  </si>
  <si>
    <t>Q2</t>
  </si>
  <si>
    <t>Q3</t>
  </si>
  <si>
    <t>Q4</t>
  </si>
  <si>
    <t>Quarter</t>
  </si>
  <si>
    <t>Actual Sales</t>
  </si>
  <si>
    <t>Target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</si>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</sst>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A4D8F"/>
        <bgColor rgb="FF1A4D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C7" sqref="C7"/>
    </sheetView>
  </sheetViews>
  <sheetFormatPr defaultRowHeight="14.5" x14ac:dyDescent="0.35"/>
  <cols>
    <col min="1" max="1" width="16" customWidth="1"/>
    <col min="2" max="5" width="12" customWidth="1"/>
  </cols>
  <sheetData>
    <row r="1" spans="1:5" x14ac:dyDescent="0.35">
      <c r="A1" s="1" t="s">
        <v>0</v>
      </c>
      <c r="B1" s="1" t="s">
        <v>1</v>
      </c>
    </row>
    <row r="2" spans="1:5" x14ac:dyDescent="0.35">
      <c r="A2" s="2" t="s">
        <v>2</v>
      </c>
      <c r="B2" s="2" t="s">
        <v>3</v>
      </c>
    </row>
    <row r="3" spans="1:5" x14ac:dyDescent="0.35">
      <c r="A3" s="2" t="s">
        <v>4</v>
      </c>
      <c r="B3" s="2" t="s">
        <v>5</v>
      </c>
    </row>
    <row r="4" spans="1:5" x14ac:dyDescent="0.35">
      <c r="A4" s="2" t="s">
        <v>6</v>
      </c>
      <c r="B4" s="2" t="s">
        <v>7</v>
      </c>
    </row>
    <row r="5" spans="1:5" x14ac:dyDescent="0.35">
      <c r="A5" s="2" t="s">
        <v>8</v>
      </c>
      <c r="B5" s="2" t="s">
        <v>9</v>
      </c>
    </row>
    <row r="6" spans="1:5" x14ac:dyDescent="0.35">
      <c r="A6" s="2" t="s">
        <v>10</v>
      </c>
      <c r="B6" s="2" t="s">
        <v>3</v>
      </c>
    </row>
    <row r="7" spans="1:5" x14ac:dyDescent="0.35">
      <c r="A7" s="2" t="s">
        <v>11</v>
      </c>
      <c r="B7" s="2" t="s">
        <v>5</v>
      </c>
    </row>
    <row r="10" spans="1:5" x14ac:dyDescent="0.35">
      <c r="A10" s="1" t="s">
        <v>1</v>
      </c>
      <c r="B10" s="1" t="s">
        <v>12</v>
      </c>
      <c r="C10" s="1" t="s">
        <v>13</v>
      </c>
      <c r="D10" s="1" t="s">
        <v>14</v>
      </c>
      <c r="E10" s="1" t="s">
        <v>15</v>
      </c>
    </row>
    <row r="11" spans="1:5" x14ac:dyDescent="0.35">
      <c r="A11" s="2" t="s">
        <v>3</v>
      </c>
      <c r="B11" s="2">
        <v>100000</v>
      </c>
      <c r="C11" s="2">
        <v>120000</v>
      </c>
      <c r="D11" s="2">
        <v>110000</v>
      </c>
      <c r="E11" s="2">
        <v>130000</v>
      </c>
    </row>
    <row r="12" spans="1:5" x14ac:dyDescent="0.35">
      <c r="A12" s="2" t="s">
        <v>5</v>
      </c>
      <c r="B12" s="2">
        <v>90000</v>
      </c>
      <c r="C12" s="2">
        <v>95000</v>
      </c>
      <c r="D12" s="2">
        <v>100000</v>
      </c>
      <c r="E12" s="2">
        <v>105000</v>
      </c>
    </row>
    <row r="13" spans="1:5" x14ac:dyDescent="0.35">
      <c r="A13" s="2" t="s">
        <v>7</v>
      </c>
      <c r="B13" s="2">
        <v>80000</v>
      </c>
      <c r="C13" s="2">
        <v>85000</v>
      </c>
      <c r="D13" s="2">
        <v>90000</v>
      </c>
      <c r="E13" s="2">
        <v>95000</v>
      </c>
    </row>
    <row r="14" spans="1:5" x14ac:dyDescent="0.35">
      <c r="A14" s="2" t="s">
        <v>9</v>
      </c>
      <c r="B14" s="2">
        <v>110000</v>
      </c>
      <c r="C14" s="2">
        <v>115000</v>
      </c>
      <c r="D14" s="2">
        <v>120000</v>
      </c>
      <c r="E14" s="2">
        <v>125000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abSelected="1" workbookViewId="0">
      <selection activeCell="H5" sqref="H5"/>
    </sheetView>
  </sheetViews>
  <sheetFormatPr defaultRowHeight="14.5" x14ac:dyDescent="0.35"/>
  <cols>
    <col min="1" max="1" width="16" customWidth="1"/>
    <col min="2" max="2" width="10" customWidth="1"/>
    <col min="3" max="3" width="14" customWidth="1"/>
    <col min="4" max="4" width="10" customWidth="1"/>
    <col min="5" max="5" width="12" customWidth="1"/>
    <col min="6" max="6" width="14" customWidth="1"/>
  </cols>
  <sheetData>
    <row r="1" spans="1:6" x14ac:dyDescent="0.35">
      <c r="A1" s="1" t="s">
        <v>0</v>
      </c>
      <c r="B1" s="1" t="s">
        <v>16</v>
      </c>
      <c r="C1" s="1" t="s">
        <v>17</v>
      </c>
      <c r="D1" s="1" t="s">
        <v>1</v>
      </c>
      <c r="E1" s="1" t="s">
        <v>18</v>
      </c>
      <c r="F1" s="1" t="s">
        <v>19</v>
      </c>
    </row>
    <row r="2" spans="1:6" x14ac:dyDescent="0.35">
      <c r="A2" s="2" t="s">
        <v>2</v>
      </c>
      <c r="B2" s="2" t="s">
        <v>12</v>
      </c>
      <c r="C2" s="2">
        <v>105000</v>
      </c>
      <c r="D2" t="str">
        <f>VLOOKUP(A2,'Employee-Region'!$A$2:$B$7,2,FALSE)</f>
        <v>North</v>
      </c>
      <c r="E2">
        <f>HLOOKUP(B2,'Employee-Region'!$B$10:$E$14,MATCH(D2,'Employee-Region'!$A$11:$A$14,0)+1,FALSE)</f>
        <v>100000</v>
      </c>
      <c r="F2" t="str">
        <f>IF(C2&gt;=E2,"Achieved","Not Achieved")</f>
        <v>Achieved</v>
      </c>
    </row>
    <row r="3" spans="1:6" x14ac:dyDescent="0.35">
      <c r="A3" s="2" t="s">
        <v>4</v>
      </c>
      <c r="B3" s="2" t="s">
        <v>13</v>
      </c>
      <c r="C3" s="2">
        <v>92000</v>
      </c>
      <c r="D3" t="str">
        <f>VLOOKUP(A3,'Employee-Region'!$A$2:$B$7,2,FALSE)</f>
        <v>South</v>
      </c>
      <c r="E3">
        <f>HLOOKUP(B3,'Employee-Region'!$B$10:$E$14,MATCH(D3,'Employee-Region'!$A$11:$A$14,0)+1,FALSE)</f>
        <v>95000</v>
      </c>
      <c r="F3" t="str">
        <f t="shared" ref="F3:F7" si="0">IF(C3&gt;=E3,"Achieved","Not Achieved")</f>
        <v>Not Achieved</v>
      </c>
    </row>
    <row r="4" spans="1:6" x14ac:dyDescent="0.35">
      <c r="A4" s="2" t="s">
        <v>6</v>
      </c>
      <c r="B4" s="2" t="s">
        <v>14</v>
      </c>
      <c r="C4" s="2">
        <v>95000</v>
      </c>
      <c r="D4" t="str">
        <f>VLOOKUP(A4,'Employee-Region'!$A$2:$B$7,2,FALSE)</f>
        <v>East</v>
      </c>
      <c r="E4">
        <f>HLOOKUP(B4,'Employee-Region'!$B$10:$E$14,MATCH(D4,'Employee-Region'!$A$11:$A$14,0)+1,FALSE)</f>
        <v>90000</v>
      </c>
      <c r="F4" t="str">
        <f t="shared" si="0"/>
        <v>Achieved</v>
      </c>
    </row>
    <row r="5" spans="1:6" x14ac:dyDescent="0.35">
      <c r="A5" s="2" t="s">
        <v>8</v>
      </c>
      <c r="B5" s="2" t="s">
        <v>15</v>
      </c>
      <c r="C5" s="2">
        <v>120000</v>
      </c>
      <c r="D5" t="str">
        <f>VLOOKUP(A5,'Employee-Region'!$A$2:$B$7,2,FALSE)</f>
        <v>West</v>
      </c>
      <c r="E5">
        <f>HLOOKUP(B5,'Employee-Region'!$B$10:$E$14,MATCH(D5,'Employee-Region'!$A$11:$A$14,0)+1,FALSE)</f>
        <v>125000</v>
      </c>
      <c r="F5" t="str">
        <f t="shared" si="0"/>
        <v>Not Achieved</v>
      </c>
    </row>
    <row r="6" spans="1:6" x14ac:dyDescent="0.35">
      <c r="A6" s="2" t="s">
        <v>10</v>
      </c>
      <c r="B6" s="2" t="s">
        <v>13</v>
      </c>
      <c r="C6" s="2">
        <v>118000</v>
      </c>
      <c r="D6" t="str">
        <f>VLOOKUP(A6,'Employee-Region'!$A$2:$B$7,2,FALSE)</f>
        <v>North</v>
      </c>
      <c r="E6">
        <f>HLOOKUP(B6,'Employee-Region'!$B$10:$E$14,MATCH(D6,'Employee-Region'!$A$11:$A$14,0)+1,FALSE)</f>
        <v>120000</v>
      </c>
      <c r="F6" t="str">
        <f t="shared" si="0"/>
        <v>Not Achieved</v>
      </c>
    </row>
    <row r="7" spans="1:6" x14ac:dyDescent="0.35">
      <c r="A7" s="2" t="s">
        <v>11</v>
      </c>
      <c r="B7" s="2" t="s">
        <v>15</v>
      </c>
      <c r="C7" s="2">
        <v>100000</v>
      </c>
      <c r="D7" t="str">
        <f>VLOOKUP(A7,'Employee-Region'!$A$2:$B$7,2,FALSE)</f>
        <v>South</v>
      </c>
      <c r="E7">
        <f>HLOOKUP(B7,'Employee-Region'!$B$10:$E$14,MATCH(D7,'Employee-Region'!$A$11:$A$14,0)+1,FALSE)</f>
        <v>105000</v>
      </c>
      <c r="F7" t="str">
        <f t="shared" si="0"/>
        <v>Not Achieved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Employee-Region</vt:lpstr>
      <vt:lpstr>Sales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naheedakhtar7952@gmail.com</cp:lastModifiedBy>
  <dcterms:created xsi:type="dcterms:W3CDTF">2026-08-19T19:10:49Z</dcterms:created>
  <dcterms:modified xsi:type="dcterms:W3CDTF">2026-08-19T19:42:29Z</dcterms:modified>
</cp:coreProperties>
</file>