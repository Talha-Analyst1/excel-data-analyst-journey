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AP-TECH\Downloads\"/>
    </mc:Choice>
  </mc:AlternateContent>
  <xr:revisionPtr revIDLastSave="0" documentId="13_ncr:1_{5EEB92CF-AF64-4099-855B-1BC5CCFD15C8}" xr6:coauthVersionLast="47" xr6:coauthVersionMax="47" xr10:uidLastSave="{00000000-0000-0000-0000-000000000000}"/>
  <bookViews>
    <workbookView xWindow="-110" yWindow="-110" windowWidth="19420" windowHeight="11020" activeTab="3" xr2:uid="{00000000-000D-0000-FFFF-FFFF00000000}"/>
  </bookViews>
  <sheets>
    <sheet name="Sheet1" sheetId="3" r:id="rId1"/>
    <sheet name="Sheet2" sheetId="4" r:id="rId2"/>
    <sheet name="Sales Data" sheetId="1" r:id="rId3"/>
    <sheet name="Dashboard" sheetId="2" r:id="rId4"/>
  </sheets>
  <definedNames>
    <definedName name="Slicer_Month">#N/A</definedName>
    <definedName name="Slicer_Status">#N/A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6" i="2" l="1"/>
  <c r="B5" i="2"/>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2" i="1"/>
  <c r="B4" i="2"/>
  <c r="B3" i="2"/>
</calcChain>
</file>

<file path=xl/sharedStrings.xml><?xml version="1.0" encoding="utf-8"?>
<sst xmlns="http://schemas.openxmlformats.org/spreadsheetml/2006/main" count="205" uniqueCount="33">
  <si>
    <t>Order ID</t>
  </si>
  <si>
    <t>Product</t>
  </si>
  <si>
    <t>Category</t>
  </si>
  <si>
    <t>Region</t>
  </si>
  <si>
    <t>Revenue</t>
  </si>
  <si>
    <t>Target</t>
  </si>
  <si>
    <t>Month</t>
  </si>
  <si>
    <t>Headphones</t>
  </si>
  <si>
    <t>Accessories</t>
  </si>
  <si>
    <t>West</t>
  </si>
  <si>
    <t>Jan</t>
  </si>
  <si>
    <t>Mouse</t>
  </si>
  <si>
    <t>East</t>
  </si>
  <si>
    <t>Monitor</t>
  </si>
  <si>
    <t>Electronics</t>
  </si>
  <si>
    <t>Apr</t>
  </si>
  <si>
    <t>May</t>
  </si>
  <si>
    <t>Feb</t>
  </si>
  <si>
    <t>Laptop</t>
  </si>
  <si>
    <t>Printer</t>
  </si>
  <si>
    <t>Mar</t>
  </si>
  <si>
    <t>South</t>
  </si>
  <si>
    <t>North</t>
  </si>
  <si>
    <t>Keyboard</t>
  </si>
  <si>
    <t>SALES ANALYTICS DASHBOARD</t>
  </si>
  <si>
    <t>Total Revenue</t>
  </si>
  <si>
    <t>Total Orders</t>
  </si>
  <si>
    <t>Orders Achieved Target</t>
  </si>
  <si>
    <t>Average Revenue per Order</t>
  </si>
  <si>
    <t>Status</t>
  </si>
  <si>
    <t>Row Labels</t>
  </si>
  <si>
    <t>Grand Total</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</si>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</sst>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sz val="11"/>
      <name val="Arial"/>
    </font>
    <font>
      <b/>
      <sz val="22"/>
      <color rgb="FF1A4D8F"/>
      <name val="Arial"/>
      <family val="2"/>
    </font>
    <font>
      <b/>
      <sz val="11"/>
      <color rgb="FFFFFFFF"/>
      <name val="Arial"/>
      <family val="2"/>
    </font>
    <font>
      <b/>
      <sz val="18"/>
      <name val="Arial"/>
      <family val="2"/>
    </font>
    <font>
      <b/>
      <sz val="18"/>
      <color theme="1"/>
      <name val="Calibri"/>
      <family val="2"/>
      <scheme val="minor"/>
    </font>
  </fonts>
  <fills count="4">
    <fill>
      <patternFill patternType="none"/>
    </fill>
    <fill>
      <patternFill patternType="gray125"/>
    </fill>
    <fill>
      <patternFill patternType="solid">
        <fgColor rgb="FF1A4D8F"/>
        <bgColor rgb="FF1A4D8F"/>
      </patternFill>
    </fill>
    <fill>
      <patternFill patternType="solid">
        <fgColor rgb="FF00B0F0"/>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xf>
    <xf numFmtId="0" fontId="2" fillId="0" borderId="0" xfId="0" applyFont="1" applyAlignment="1">
      <alignment horizontal="center"/>
    </xf>
    <xf numFmtId="0" fontId="3" fillId="0" borderId="0" xfId="0" applyFont="1"/>
    <xf numFmtId="0" fontId="4" fillId="2" borderId="0" xfId="0" applyFont="1" applyFill="1" applyAlignment="1">
      <alignment horizontal="center"/>
    </xf>
    <xf numFmtId="0" fontId="5" fillId="0" borderId="0" xfId="0" applyFont="1"/>
    <xf numFmtId="0" fontId="6" fillId="3" borderId="0" xfId="0" applyFont="1"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[Final_DataAnalyst_Dashboard_Project.xlsx]Sheet1!PivotTable1</c:name>
    <c:fmtId val="6"/>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Sheet1!$A$4:$A$8</c:f>
              <c:strCache>
                <c:ptCount val="4"/>
                <c:pt idx="0">
                  <c:v>East</c:v>
                </c:pt>
                <c:pt idx="1">
                  <c:v>North</c:v>
                </c:pt>
                <c:pt idx="2">
                  <c:v>South</c:v>
                </c:pt>
                <c:pt idx="3">
                  <c:v>West</c:v>
                </c:pt>
              </c:strCache>
            </c:strRef>
          </c:cat>
          <c:val>
            <c:numRef>
              <c:f>Sheet1!$B$4:$B$8</c:f>
              <c:numCache>
                <c:formatCode>General</c:formatCode>
                <c:ptCount val="4"/>
                <c:pt idx="0">
                  <c:v>239598</c:v>
                </c:pt>
                <c:pt idx="1">
                  <c:v>54936</c:v>
                </c:pt>
                <c:pt idx="2">
                  <c:v>232301</c:v>
                </c:pt>
                <c:pt idx="3">
                  <c:v>568605</c:v>
                </c:pt>
              </c:numCache>
            </c:numRef>
          </c:val>
          <c:extLst>
            <c:ext xmlns:c16="http://schemas.microsoft.com/office/drawing/2014/chart" uri="{C3380CC4-5D6E-409C-BE32-E72D297353CC}">
              <c16:uniqueId val="{00000000-D98C-458A-A738-EBE5F06565D5}"/>
            </c:ext>
          </c:extLst>
        </c:ser>
        <c:dLbls>
          <c:showLegendKey val="0"/>
          <c:showVal val="1"/>
          <c:showCatName val="0"/>
          <c:showSerName val="0"/>
          <c:showPercent val="0"/>
          <c:showBubbleSize val="0"/>
        </c:dLbls>
        <c:gapWidth val="84"/>
        <c:gapDepth val="53"/>
        <c:shape val="box"/>
        <c:axId val="395403440"/>
        <c:axId val="395407040"/>
        <c:axId val="0"/>
      </c:bar3DChart>
      <c:catAx>
        <c:axId val="395403440"/>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407040"/>
        <c:crosses val="autoZero"/>
        <c:auto val="1"/>
        <c:lblAlgn val="ctr"/>
        <c:lblOffset val="100"/>
        <c:noMultiLvlLbl val="0"/>
      </c:catAx>
      <c:valAx>
        <c:axId val="395407040"/>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39540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[Final_DataAnalyst_Dashboard_Project.xlsx]Sheet2!PivotTable2</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860-43D4-87DF-886E0AD51CD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860-43D4-87DF-886E0AD51C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Sheet2!$A$4:$A$6</c:f>
              <c:strCache>
                <c:ptCount val="2"/>
                <c:pt idx="0">
                  <c:v>Accessories</c:v>
                </c:pt>
                <c:pt idx="1">
                  <c:v>Electronics</c:v>
                </c:pt>
              </c:strCache>
            </c:strRef>
          </c:cat>
          <c:val>
            <c:numRef>
              <c:f>Sheet2!$B$4:$B$6</c:f>
              <c:numCache>
                <c:formatCode>General</c:formatCode>
                <c:ptCount val="2"/>
                <c:pt idx="0">
                  <c:v>776151</c:v>
                </c:pt>
                <c:pt idx="1">
                  <c:v>1107315</c:v>
                </c:pt>
              </c:numCache>
            </c:numRef>
          </c:val>
          <c:extLst>
            <c:ext xmlns:c16="http://schemas.microsoft.com/office/drawing/2014/chart" uri="{C3380CC4-5D6E-409C-BE32-E72D297353CC}">
              <c16:uniqueId val="{00000004-0860-43D4-87DF-886E0AD51CD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7</xdr:row>
      <xdr:rowOff>12700</xdr:rowOff>
    </xdr:from>
    <xdr:to>
      <xdr:col>0</xdr:col>
      <xdr:colOff>4591050</xdr:colOff>
      <xdr:row>21</xdr:row>
      <xdr:rowOff>177800</xdr:rowOff>
    </xdr:to>
    <xdr:graphicFrame macro="">
      <xdr:nvGraphicFramePr>
        <xdr:cNvPr id="2" name="Chart 1">
          <a:extLst>
            <a:ext uri="{FF2B5EF4-FFF2-40B4-BE49-F238E27FC236}">
              <a16:creationId xmlns:a16="http://schemas.microsoft.com/office/drawing/2014/main" id="{ED906F55-8ACF-4842-9CB0-737CEA86F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7</xdr:row>
      <xdr:rowOff>0</xdr:rowOff>
    </xdr:from>
    <xdr:to>
      <xdr:col>11</xdr:col>
      <xdr:colOff>304800</xdr:colOff>
      <xdr:row>21</xdr:row>
      <xdr:rowOff>165100</xdr:rowOff>
    </xdr:to>
    <xdr:graphicFrame macro="">
      <xdr:nvGraphicFramePr>
        <xdr:cNvPr id="3" name="Chart 2">
          <a:extLst>
            <a:ext uri="{FF2B5EF4-FFF2-40B4-BE49-F238E27FC236}">
              <a16:creationId xmlns:a16="http://schemas.microsoft.com/office/drawing/2014/main" id="{DEE17AE5-D177-40C0-9B2D-C827E832C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4629150</xdr:colOff>
      <xdr:row>6</xdr:row>
      <xdr:rowOff>158750</xdr:rowOff>
    </xdr:from>
    <xdr:to>
      <xdr:col>1</xdr:col>
      <xdr:colOff>1073150</xdr:colOff>
      <xdr:row>19</xdr:row>
      <xdr:rowOff>73025</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DAFACB5C-4C6C-45B4-34D1-3E162F7E7F3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629150" y="1892300"/>
              <a:ext cx="1098550" cy="230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342900</xdr:colOff>
      <xdr:row>6</xdr:row>
      <xdr:rowOff>69850</xdr:rowOff>
    </xdr:from>
    <xdr:to>
      <xdr:col>13</xdr:col>
      <xdr:colOff>596900</xdr:colOff>
      <xdr:row>20</xdr:row>
      <xdr:rowOff>3175</xdr:rowOff>
    </xdr:to>
    <mc:AlternateContent xmlns:mc="http://schemas.openxmlformats.org/markup-compatibility/2006">
      <mc:Choice xmlns:a14="http://schemas.microsoft.com/office/drawing/2010/main" Requires="a14">
        <xdr:graphicFrame macro="">
          <xdr:nvGraphicFramePr>
            <xdr:cNvPr id="6" name="Status">
              <a:extLst>
                <a:ext uri="{FF2B5EF4-FFF2-40B4-BE49-F238E27FC236}">
                  <a16:creationId xmlns:a16="http://schemas.microsoft.com/office/drawing/2014/main" id="{05FDA9BC-3C71-B413-BFBA-33B7A5B1616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1601450" y="1803400"/>
              <a:ext cx="1473200" cy="2511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480" refreshedDate="46260.717817592595" createdVersion="8" refreshedVersion="8" minRefreshableVersion="3" recordCount="45" xr:uid="{6597F042-6BAB-43D0-8B39-050F3F4C7CD8}">
  <cacheSource type="worksheet">
    <worksheetSource ref="A1:H46" sheet="Sales Data"/>
  </cacheSource>
  <cacheFields count="8">
    <cacheField name="Order ID" numFmtId="0">
      <sharedItems containsSemiMixedTypes="0" containsString="0" containsNumber="1" containsInteger="1" minValue="8001" maxValue="8045"/>
    </cacheField>
    <cacheField name="Product" numFmtId="0">
      <sharedItems/>
    </cacheField>
    <cacheField name="Category" numFmtId="0">
      <sharedItems count="2">
        <s v="Accessories"/>
        <s v="Electronics"/>
      </sharedItems>
    </cacheField>
    <cacheField name="Region" numFmtId="0">
      <sharedItems count="4">
        <s v="West"/>
        <s v="East"/>
        <s v="South"/>
        <s v="North"/>
      </sharedItems>
    </cacheField>
    <cacheField name="Revenue" numFmtId="0">
      <sharedItems containsSemiMixedTypes="0" containsString="0" containsNumber="1" containsInteger="1" minValue="32918" maxValue="249915" count="45">
        <n v="190154"/>
        <n v="189035"/>
        <n v="118458"/>
        <n v="32918"/>
        <n v="160899"/>
        <n v="178132"/>
        <n v="57432"/>
        <n v="122869"/>
        <n v="249915"/>
        <n v="232301"/>
        <n v="179433"/>
        <n v="176214"/>
        <n v="146104"/>
        <n v="140391"/>
        <n v="82858"/>
        <n v="196616"/>
        <n v="224874"/>
        <n v="184068"/>
        <n v="142890"/>
        <n v="193614"/>
        <n v="51339"/>
        <n v="138315"/>
        <n v="168013"/>
        <n v="54235"/>
        <n v="62132"/>
        <n v="54936"/>
        <n v="70865"/>
        <n v="102625"/>
        <n v="76172"/>
        <n v="148796"/>
        <n v="96373"/>
        <n v="228397"/>
        <n v="115610"/>
        <n v="213822"/>
        <n v="40162"/>
        <n v="47121"/>
        <n v="193396"/>
        <n v="185363"/>
        <n v="244369"/>
        <n v="163615"/>
        <n v="57045"/>
        <n v="33882"/>
        <n v="130616"/>
        <n v="101845"/>
        <n v="39629"/>
      </sharedItems>
    </cacheField>
    <cacheField name="Target" numFmtId="0">
      <sharedItems containsSemiMixedTypes="0" containsString="0" containsNumber="1" containsInteger="1" minValue="80000" maxValue="180000"/>
    </cacheField>
    <cacheField name="Month" numFmtId="0">
      <sharedItems count="5">
        <s v="Jan"/>
        <s v="Apr"/>
        <s v="May"/>
        <s v="Feb"/>
        <s v="Mar"/>
      </sharedItems>
    </cacheField>
    <cacheField name="Status" numFmtId="0">
      <sharedItems count="2">
        <s v="Achived"/>
        <s v="Not Achived"/>
      </sharedItems>
    </cacheField>
  </cacheFields>
  <extLst>
    <ext xmlns:x14="http://schemas.microsoft.com/office/spreadsheetml/2009/9/main" uri="{725AE2AE-9491-48be-B2B4-4EB974FC3084}">
      <x14:pivotCacheDefinition pivotCacheId="453083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n v="8001"/>
    <s v="Headphones"/>
    <x v="0"/>
    <x v="0"/>
    <x v="0"/>
    <n v="80000"/>
    <x v="0"/>
    <x v="0"/>
  </r>
  <r>
    <n v="8002"/>
    <s v="Mouse"/>
    <x v="0"/>
    <x v="1"/>
    <x v="1"/>
    <n v="120000"/>
    <x v="0"/>
    <x v="0"/>
  </r>
  <r>
    <n v="8003"/>
    <s v="Monitor"/>
    <x v="1"/>
    <x v="1"/>
    <x v="2"/>
    <n v="80000"/>
    <x v="1"/>
    <x v="0"/>
  </r>
  <r>
    <n v="8004"/>
    <s v="Headphones"/>
    <x v="0"/>
    <x v="0"/>
    <x v="3"/>
    <n v="80000"/>
    <x v="1"/>
    <x v="1"/>
  </r>
  <r>
    <n v="8005"/>
    <s v="Mouse"/>
    <x v="0"/>
    <x v="0"/>
    <x v="4"/>
    <n v="150000"/>
    <x v="2"/>
    <x v="0"/>
  </r>
  <r>
    <n v="8006"/>
    <s v="Mouse"/>
    <x v="0"/>
    <x v="0"/>
    <x v="5"/>
    <n v="100000"/>
    <x v="3"/>
    <x v="0"/>
  </r>
  <r>
    <n v="8007"/>
    <s v="Laptop"/>
    <x v="1"/>
    <x v="1"/>
    <x v="6"/>
    <n v="80000"/>
    <x v="1"/>
    <x v="1"/>
  </r>
  <r>
    <n v="8008"/>
    <s v="Printer"/>
    <x v="1"/>
    <x v="0"/>
    <x v="7"/>
    <n v="180000"/>
    <x v="4"/>
    <x v="1"/>
  </r>
  <r>
    <n v="8009"/>
    <s v="Laptop"/>
    <x v="1"/>
    <x v="2"/>
    <x v="8"/>
    <n v="180000"/>
    <x v="2"/>
    <x v="0"/>
  </r>
  <r>
    <n v="8010"/>
    <s v="Monitor"/>
    <x v="1"/>
    <x v="2"/>
    <x v="9"/>
    <n v="120000"/>
    <x v="3"/>
    <x v="0"/>
  </r>
  <r>
    <n v="8011"/>
    <s v="Mouse"/>
    <x v="0"/>
    <x v="0"/>
    <x v="10"/>
    <n v="120000"/>
    <x v="0"/>
    <x v="0"/>
  </r>
  <r>
    <n v="8012"/>
    <s v="Monitor"/>
    <x v="1"/>
    <x v="2"/>
    <x v="11"/>
    <n v="120000"/>
    <x v="0"/>
    <x v="0"/>
  </r>
  <r>
    <n v="8013"/>
    <s v="Headphones"/>
    <x v="0"/>
    <x v="0"/>
    <x v="12"/>
    <n v="80000"/>
    <x v="3"/>
    <x v="0"/>
  </r>
  <r>
    <n v="8014"/>
    <s v="Monitor"/>
    <x v="1"/>
    <x v="3"/>
    <x v="13"/>
    <n v="180000"/>
    <x v="1"/>
    <x v="1"/>
  </r>
  <r>
    <n v="8015"/>
    <s v="Laptop"/>
    <x v="1"/>
    <x v="0"/>
    <x v="14"/>
    <n v="100000"/>
    <x v="1"/>
    <x v="1"/>
  </r>
  <r>
    <n v="8016"/>
    <s v="Monitor"/>
    <x v="1"/>
    <x v="3"/>
    <x v="15"/>
    <n v="150000"/>
    <x v="2"/>
    <x v="0"/>
  </r>
  <r>
    <n v="8017"/>
    <s v="Laptop"/>
    <x v="1"/>
    <x v="1"/>
    <x v="16"/>
    <n v="80000"/>
    <x v="2"/>
    <x v="0"/>
  </r>
  <r>
    <n v="8018"/>
    <s v="Mouse"/>
    <x v="0"/>
    <x v="2"/>
    <x v="17"/>
    <n v="120000"/>
    <x v="4"/>
    <x v="0"/>
  </r>
  <r>
    <n v="8019"/>
    <s v="Headphones"/>
    <x v="0"/>
    <x v="3"/>
    <x v="18"/>
    <n v="120000"/>
    <x v="4"/>
    <x v="0"/>
  </r>
  <r>
    <n v="8020"/>
    <s v="Monitor"/>
    <x v="1"/>
    <x v="3"/>
    <x v="19"/>
    <n v="100000"/>
    <x v="4"/>
    <x v="0"/>
  </r>
  <r>
    <n v="8021"/>
    <s v="Headphones"/>
    <x v="0"/>
    <x v="3"/>
    <x v="20"/>
    <n v="120000"/>
    <x v="2"/>
    <x v="1"/>
  </r>
  <r>
    <n v="8022"/>
    <s v="Headphones"/>
    <x v="0"/>
    <x v="0"/>
    <x v="21"/>
    <n v="100000"/>
    <x v="4"/>
    <x v="0"/>
  </r>
  <r>
    <n v="8023"/>
    <s v="Mouse"/>
    <x v="0"/>
    <x v="1"/>
    <x v="22"/>
    <n v="120000"/>
    <x v="1"/>
    <x v="0"/>
  </r>
  <r>
    <n v="8024"/>
    <s v="Mouse"/>
    <x v="0"/>
    <x v="1"/>
    <x v="23"/>
    <n v="150000"/>
    <x v="3"/>
    <x v="1"/>
  </r>
  <r>
    <n v="8025"/>
    <s v="Laptop"/>
    <x v="1"/>
    <x v="3"/>
    <x v="24"/>
    <n v="150000"/>
    <x v="0"/>
    <x v="1"/>
  </r>
  <r>
    <n v="8026"/>
    <s v="Monitor"/>
    <x v="1"/>
    <x v="3"/>
    <x v="25"/>
    <n v="80000"/>
    <x v="3"/>
    <x v="1"/>
  </r>
  <r>
    <n v="8027"/>
    <s v="Keyboard"/>
    <x v="0"/>
    <x v="0"/>
    <x v="26"/>
    <n v="180000"/>
    <x v="2"/>
    <x v="1"/>
  </r>
  <r>
    <n v="8028"/>
    <s v="Monitor"/>
    <x v="1"/>
    <x v="2"/>
    <x v="27"/>
    <n v="150000"/>
    <x v="1"/>
    <x v="1"/>
  </r>
  <r>
    <n v="8029"/>
    <s v="Printer"/>
    <x v="1"/>
    <x v="3"/>
    <x v="28"/>
    <n v="100000"/>
    <x v="1"/>
    <x v="1"/>
  </r>
  <r>
    <n v="8030"/>
    <s v="Monitor"/>
    <x v="1"/>
    <x v="3"/>
    <x v="29"/>
    <n v="180000"/>
    <x v="4"/>
    <x v="1"/>
  </r>
  <r>
    <n v="8031"/>
    <s v="Laptop"/>
    <x v="1"/>
    <x v="0"/>
    <x v="30"/>
    <n v="120000"/>
    <x v="4"/>
    <x v="1"/>
  </r>
  <r>
    <n v="8032"/>
    <s v="Printer"/>
    <x v="1"/>
    <x v="1"/>
    <x v="31"/>
    <n v="120000"/>
    <x v="4"/>
    <x v="0"/>
  </r>
  <r>
    <n v="8033"/>
    <s v="Laptop"/>
    <x v="1"/>
    <x v="1"/>
    <x v="32"/>
    <n v="150000"/>
    <x v="1"/>
    <x v="1"/>
  </r>
  <r>
    <n v="8034"/>
    <s v="Laptop"/>
    <x v="1"/>
    <x v="1"/>
    <x v="33"/>
    <n v="120000"/>
    <x v="4"/>
    <x v="0"/>
  </r>
  <r>
    <n v="8035"/>
    <s v="Headphones"/>
    <x v="0"/>
    <x v="1"/>
    <x v="34"/>
    <n v="150000"/>
    <x v="1"/>
    <x v="1"/>
  </r>
  <r>
    <n v="8036"/>
    <s v="Printer"/>
    <x v="1"/>
    <x v="0"/>
    <x v="35"/>
    <n v="80000"/>
    <x v="1"/>
    <x v="1"/>
  </r>
  <r>
    <n v="8037"/>
    <s v="Mouse"/>
    <x v="0"/>
    <x v="3"/>
    <x v="36"/>
    <n v="120000"/>
    <x v="4"/>
    <x v="0"/>
  </r>
  <r>
    <n v="8038"/>
    <s v="Keyboard"/>
    <x v="0"/>
    <x v="1"/>
    <x v="37"/>
    <n v="120000"/>
    <x v="3"/>
    <x v="0"/>
  </r>
  <r>
    <n v="8039"/>
    <s v="Monitor"/>
    <x v="1"/>
    <x v="0"/>
    <x v="38"/>
    <n v="120000"/>
    <x v="3"/>
    <x v="0"/>
  </r>
  <r>
    <n v="8040"/>
    <s v="Headphones"/>
    <x v="0"/>
    <x v="3"/>
    <x v="39"/>
    <n v="180000"/>
    <x v="2"/>
    <x v="1"/>
  </r>
  <r>
    <n v="8041"/>
    <s v="Keyboard"/>
    <x v="0"/>
    <x v="1"/>
    <x v="40"/>
    <n v="100000"/>
    <x v="2"/>
    <x v="1"/>
  </r>
  <r>
    <n v="8042"/>
    <s v="Headphones"/>
    <x v="0"/>
    <x v="1"/>
    <x v="41"/>
    <n v="120000"/>
    <x v="4"/>
    <x v="1"/>
  </r>
  <r>
    <n v="8043"/>
    <s v="Mouse"/>
    <x v="0"/>
    <x v="0"/>
    <x v="42"/>
    <n v="150000"/>
    <x v="2"/>
    <x v="1"/>
  </r>
  <r>
    <n v="8044"/>
    <s v="Mouse"/>
    <x v="0"/>
    <x v="0"/>
    <x v="43"/>
    <n v="150000"/>
    <x v="0"/>
    <x v="1"/>
  </r>
  <r>
    <n v="8045"/>
    <s v="Headphones"/>
    <x v="0"/>
    <x v="0"/>
    <x v="44"/>
    <n v="15000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6CA29F-AFFF-4577-8E2D-829649BC218C}"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8">
    <pivotField showAll="0"/>
    <pivotField showAll="0"/>
    <pivotField showAll="0"/>
    <pivotField axis="axisRow" showAll="0">
      <items count="5">
        <item x="1"/>
        <item x="3"/>
        <item x="2"/>
        <item x="0"/>
        <item t="default"/>
      </items>
    </pivotField>
    <pivotField dataField="1" showAll="0"/>
    <pivotField showAll="0"/>
    <pivotField showAll="0">
      <items count="6">
        <item h="1" x="0"/>
        <item x="3"/>
        <item h="1" x="4"/>
        <item h="1" x="1"/>
        <item h="1" x="2"/>
        <item t="default"/>
      </items>
    </pivotField>
    <pivotField showAll="0"/>
  </pivotFields>
  <rowFields count="1">
    <field x="3"/>
  </rowFields>
  <rowItems count="5">
    <i>
      <x/>
    </i>
    <i>
      <x v="1"/>
    </i>
    <i>
      <x v="2"/>
    </i>
    <i>
      <x v="3"/>
    </i>
    <i t="grand">
      <x/>
    </i>
  </rowItems>
  <colItems count="1">
    <i/>
  </colItems>
  <dataFields count="1">
    <dataField name="Sum of Revenue" fld="4"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364DC9-6028-44AD-BD2B-2A1B081CE73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8">
    <pivotField showAll="0"/>
    <pivotField showAll="0"/>
    <pivotField axis="axisRow" showAll="0">
      <items count="3">
        <item x="0"/>
        <item x="1"/>
        <item t="default"/>
      </items>
    </pivotField>
    <pivotField showAll="0"/>
    <pivotField dataField="1" showAll="0"/>
    <pivotField showAll="0"/>
    <pivotField showAll="0"/>
    <pivotField showAll="0">
      <items count="3">
        <item h="1" x="0"/>
        <item x="1"/>
        <item t="default"/>
      </items>
    </pivotField>
  </pivotFields>
  <rowFields count="1">
    <field x="2"/>
  </rowFields>
  <rowItems count="3">
    <i>
      <x/>
    </i>
    <i>
      <x v="1"/>
    </i>
    <i t="grand">
      <x/>
    </i>
  </rowItems>
  <colItems count="1">
    <i/>
  </colItems>
  <dataFields count="1">
    <dataField name="Sum of Revenue" fld="4" baseField="0" baseItem="0"/>
  </dataFields>
  <chartFormats count="10">
    <chartFormat chart="5"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2" count="1" selected="0">
            <x v="0"/>
          </reference>
        </references>
      </pivotArea>
    </chartFormat>
    <chartFormat chart="9" format="3">
      <pivotArea type="data" outline="0" fieldPosition="0">
        <references count="2">
          <reference field="4294967294" count="1" selected="0">
            <x v="0"/>
          </reference>
          <reference field="2"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 count="1" selected="0">
            <x v="0"/>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2A4643D-35AE-4A3E-9205-1E32A0336190}" sourceName="Month">
  <pivotTables>
    <pivotTable tabId="3" name="PivotTable1"/>
  </pivotTables>
  <data>
    <tabular pivotCacheId="453083601">
      <items count="5">
        <i x="0"/>
        <i x="3" s="1"/>
        <i x="4"/>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6592607-F7E4-44A8-A4F0-1D19D14E8BA0}" sourceName="Status">
  <pivotTables>
    <pivotTable tabId="4" name="PivotTable2"/>
  </pivotTables>
  <data>
    <tabular pivotCacheId="453083601">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C6C6090-557B-4B16-919F-E382D7795F41}" cache="Slicer_Month" caption="Month" rowHeight="241300"/>
  <slicer name="Status" xr10:uid="{33A9375E-0ACD-4A68-A2B1-31A0625939CE}" cache="Slicer_Status" caption="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1C4F0-BC75-4294-BDA0-7F2688F04962}">
  <dimension ref="A3:B8"/>
  <sheetViews>
    <sheetView workbookViewId="0">
      <selection activeCell="A3" sqref="A3"/>
    </sheetView>
  </sheetViews>
  <sheetFormatPr defaultRowHeight="14.5" x14ac:dyDescent="0.35"/>
  <cols>
    <col min="1" max="1" width="12.36328125" bestFit="1" customWidth="1"/>
    <col min="2" max="2" width="14.36328125" bestFit="1" customWidth="1"/>
  </cols>
  <sheetData>
    <row r="3" spans="1:2" x14ac:dyDescent="0.35">
      <c r="A3" s="7" t="s">
        <v>30</v>
      </c>
      <c r="B3" t="s">
        <v>32</v>
      </c>
    </row>
    <row r="4" spans="1:2" x14ac:dyDescent="0.35">
      <c r="A4" s="8" t="s">
        <v>12</v>
      </c>
      <c r="B4" s="9">
        <v>239598</v>
      </c>
    </row>
    <row r="5" spans="1:2" x14ac:dyDescent="0.35">
      <c r="A5" s="8" t="s">
        <v>22</v>
      </c>
      <c r="B5" s="9">
        <v>54936</v>
      </c>
    </row>
    <row r="6" spans="1:2" x14ac:dyDescent="0.35">
      <c r="A6" s="8" t="s">
        <v>21</v>
      </c>
      <c r="B6" s="9">
        <v>232301</v>
      </c>
    </row>
    <row r="7" spans="1:2" x14ac:dyDescent="0.35">
      <c r="A7" s="8" t="s">
        <v>9</v>
      </c>
      <c r="B7" s="9">
        <v>568605</v>
      </c>
    </row>
    <row r="8" spans="1:2" x14ac:dyDescent="0.35">
      <c r="A8" s="8" t="s">
        <v>31</v>
      </c>
      <c r="B8" s="9">
        <v>1095440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C66F-7005-4594-AA17-D4238FF64A57}">
  <dimension ref="A3:B6"/>
  <sheetViews>
    <sheetView workbookViewId="0">
      <selection activeCell="E8" sqref="E8"/>
    </sheetView>
  </sheetViews>
  <sheetFormatPr defaultRowHeight="14.5" x14ac:dyDescent="0.35"/>
  <cols>
    <col min="1" max="1" width="12.36328125" bestFit="1" customWidth="1"/>
    <col min="2" max="2" width="14.36328125" bestFit="1" customWidth="1"/>
  </cols>
  <sheetData>
    <row r="3" spans="1:2" x14ac:dyDescent="0.35">
      <c r="A3" s="7" t="s">
        <v>30</v>
      </c>
      <c r="B3" t="s">
        <v>32</v>
      </c>
    </row>
    <row r="4" spans="1:2" x14ac:dyDescent="0.35">
      <c r="A4" s="8" t="s">
        <v>8</v>
      </c>
      <c r="B4" s="9">
        <v>776151</v>
      </c>
    </row>
    <row r="5" spans="1:2" x14ac:dyDescent="0.35">
      <c r="A5" s="8" t="s">
        <v>14</v>
      </c>
      <c r="B5" s="9">
        <v>1107315</v>
      </c>
    </row>
    <row r="6" spans="1:2" x14ac:dyDescent="0.35">
      <c r="A6" s="8" t="s">
        <v>31</v>
      </c>
      <c r="B6" s="9">
        <v>1883466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workbookViewId="0">
      <selection activeCell="B1" sqref="B1"/>
    </sheetView>
  </sheetViews>
  <sheetFormatPr defaultRowHeight="14.5" x14ac:dyDescent="0.35"/>
  <cols>
    <col min="1" max="1" width="10" customWidth="1"/>
    <col min="2" max="3" width="14" customWidth="1"/>
    <col min="4" max="4" width="10" customWidth="1"/>
    <col min="5" max="5" width="12" customWidth="1"/>
    <col min="6" max="6" width="10" customWidth="1"/>
    <col min="7" max="7" width="8" customWidth="1"/>
  </cols>
  <sheetData>
    <row r="1" spans="1:8" x14ac:dyDescent="0.35">
      <c r="A1" s="1" t="s">
        <v>0</v>
      </c>
      <c r="B1" s="1" t="s">
        <v>1</v>
      </c>
      <c r="C1" s="1" t="s">
        <v>2</v>
      </c>
      <c r="D1" s="1" t="s">
        <v>3</v>
      </c>
      <c r="E1" s="1" t="s">
        <v>4</v>
      </c>
      <c r="F1" s="1" t="s">
        <v>5</v>
      </c>
      <c r="G1" s="1" t="s">
        <v>6</v>
      </c>
      <c r="H1" s="4" t="s">
        <v>29</v>
      </c>
    </row>
    <row r="2" spans="1:8" x14ac:dyDescent="0.35">
      <c r="A2" s="2">
        <v>8001</v>
      </c>
      <c r="B2" s="2" t="s">
        <v>7</v>
      </c>
      <c r="C2" s="2" t="s">
        <v>8</v>
      </c>
      <c r="D2" s="2" t="s">
        <v>9</v>
      </c>
      <c r="E2" s="2">
        <v>190154</v>
      </c>
      <c r="F2" s="2">
        <v>80000</v>
      </c>
      <c r="G2" s="2" t="s">
        <v>10</v>
      </c>
      <c r="H2" t="str">
        <f>IF(E2&gt;=F2,"Achived","Not Achived")</f>
        <v>Achived</v>
      </c>
    </row>
    <row r="3" spans="1:8" x14ac:dyDescent="0.35">
      <c r="A3" s="2">
        <v>8002</v>
      </c>
      <c r="B3" s="2" t="s">
        <v>11</v>
      </c>
      <c r="C3" s="2" t="s">
        <v>8</v>
      </c>
      <c r="D3" s="2" t="s">
        <v>12</v>
      </c>
      <c r="E3" s="2">
        <v>189035</v>
      </c>
      <c r="F3" s="2">
        <v>120000</v>
      </c>
      <c r="G3" s="2" t="s">
        <v>10</v>
      </c>
      <c r="H3" t="str">
        <f t="shared" ref="H3:H46" si="0">IF(E3&gt;=F3,"Achived","Not Achived")</f>
        <v>Achived</v>
      </c>
    </row>
    <row r="4" spans="1:8" x14ac:dyDescent="0.35">
      <c r="A4" s="2">
        <v>8003</v>
      </c>
      <c r="B4" s="2" t="s">
        <v>13</v>
      </c>
      <c r="C4" s="2" t="s">
        <v>14</v>
      </c>
      <c r="D4" s="2" t="s">
        <v>12</v>
      </c>
      <c r="E4" s="2">
        <v>118458</v>
      </c>
      <c r="F4" s="2">
        <v>80000</v>
      </c>
      <c r="G4" s="2" t="s">
        <v>15</v>
      </c>
      <c r="H4" t="str">
        <f t="shared" si="0"/>
        <v>Achived</v>
      </c>
    </row>
    <row r="5" spans="1:8" x14ac:dyDescent="0.35">
      <c r="A5" s="2">
        <v>8004</v>
      </c>
      <c r="B5" s="2" t="s">
        <v>7</v>
      </c>
      <c r="C5" s="2" t="s">
        <v>8</v>
      </c>
      <c r="D5" s="2" t="s">
        <v>9</v>
      </c>
      <c r="E5" s="2">
        <v>32918</v>
      </c>
      <c r="F5" s="2">
        <v>80000</v>
      </c>
      <c r="G5" s="2" t="s">
        <v>15</v>
      </c>
      <c r="H5" t="str">
        <f t="shared" si="0"/>
        <v>Not Achived</v>
      </c>
    </row>
    <row r="6" spans="1:8" x14ac:dyDescent="0.35">
      <c r="A6" s="2">
        <v>8005</v>
      </c>
      <c r="B6" s="2" t="s">
        <v>11</v>
      </c>
      <c r="C6" s="2" t="s">
        <v>8</v>
      </c>
      <c r="D6" s="2" t="s">
        <v>9</v>
      </c>
      <c r="E6" s="2">
        <v>160899</v>
      </c>
      <c r="F6" s="2">
        <v>150000</v>
      </c>
      <c r="G6" s="2" t="s">
        <v>16</v>
      </c>
      <c r="H6" t="str">
        <f t="shared" si="0"/>
        <v>Achived</v>
      </c>
    </row>
    <row r="7" spans="1:8" x14ac:dyDescent="0.35">
      <c r="A7" s="2">
        <v>8006</v>
      </c>
      <c r="B7" s="2" t="s">
        <v>11</v>
      </c>
      <c r="C7" s="2" t="s">
        <v>8</v>
      </c>
      <c r="D7" s="2" t="s">
        <v>9</v>
      </c>
      <c r="E7" s="2">
        <v>178132</v>
      </c>
      <c r="F7" s="2">
        <v>100000</v>
      </c>
      <c r="G7" s="2" t="s">
        <v>17</v>
      </c>
      <c r="H7" t="str">
        <f t="shared" si="0"/>
        <v>Achived</v>
      </c>
    </row>
    <row r="8" spans="1:8" x14ac:dyDescent="0.35">
      <c r="A8" s="2">
        <v>8007</v>
      </c>
      <c r="B8" s="2" t="s">
        <v>18</v>
      </c>
      <c r="C8" s="2" t="s">
        <v>14</v>
      </c>
      <c r="D8" s="2" t="s">
        <v>12</v>
      </c>
      <c r="E8" s="2">
        <v>57432</v>
      </c>
      <c r="F8" s="2">
        <v>80000</v>
      </c>
      <c r="G8" s="2" t="s">
        <v>15</v>
      </c>
      <c r="H8" t="str">
        <f t="shared" si="0"/>
        <v>Not Achived</v>
      </c>
    </row>
    <row r="9" spans="1:8" x14ac:dyDescent="0.35">
      <c r="A9" s="2">
        <v>8008</v>
      </c>
      <c r="B9" s="2" t="s">
        <v>19</v>
      </c>
      <c r="C9" s="2" t="s">
        <v>14</v>
      </c>
      <c r="D9" s="2" t="s">
        <v>9</v>
      </c>
      <c r="E9" s="2">
        <v>122869</v>
      </c>
      <c r="F9" s="2">
        <v>180000</v>
      </c>
      <c r="G9" s="2" t="s">
        <v>20</v>
      </c>
      <c r="H9" t="str">
        <f t="shared" si="0"/>
        <v>Not Achived</v>
      </c>
    </row>
    <row r="10" spans="1:8" x14ac:dyDescent="0.35">
      <c r="A10" s="2">
        <v>8009</v>
      </c>
      <c r="B10" s="2" t="s">
        <v>18</v>
      </c>
      <c r="C10" s="2" t="s">
        <v>14</v>
      </c>
      <c r="D10" s="2" t="s">
        <v>21</v>
      </c>
      <c r="E10" s="2">
        <v>249915</v>
      </c>
      <c r="F10" s="2">
        <v>180000</v>
      </c>
      <c r="G10" s="2" t="s">
        <v>16</v>
      </c>
      <c r="H10" t="str">
        <f t="shared" si="0"/>
        <v>Achived</v>
      </c>
    </row>
    <row r="11" spans="1:8" x14ac:dyDescent="0.35">
      <c r="A11" s="2">
        <v>8010</v>
      </c>
      <c r="B11" s="2" t="s">
        <v>13</v>
      </c>
      <c r="C11" s="2" t="s">
        <v>14</v>
      </c>
      <c r="D11" s="2" t="s">
        <v>21</v>
      </c>
      <c r="E11" s="2">
        <v>232301</v>
      </c>
      <c r="F11" s="2">
        <v>120000</v>
      </c>
      <c r="G11" s="2" t="s">
        <v>17</v>
      </c>
      <c r="H11" t="str">
        <f t="shared" si="0"/>
        <v>Achived</v>
      </c>
    </row>
    <row r="12" spans="1:8" x14ac:dyDescent="0.35">
      <c r="A12" s="2">
        <v>8011</v>
      </c>
      <c r="B12" s="2" t="s">
        <v>11</v>
      </c>
      <c r="C12" s="2" t="s">
        <v>8</v>
      </c>
      <c r="D12" s="2" t="s">
        <v>9</v>
      </c>
      <c r="E12" s="2">
        <v>179433</v>
      </c>
      <c r="F12" s="2">
        <v>120000</v>
      </c>
      <c r="G12" s="2" t="s">
        <v>10</v>
      </c>
      <c r="H12" t="str">
        <f t="shared" si="0"/>
        <v>Achived</v>
      </c>
    </row>
    <row r="13" spans="1:8" x14ac:dyDescent="0.35">
      <c r="A13" s="2">
        <v>8012</v>
      </c>
      <c r="B13" s="2" t="s">
        <v>13</v>
      </c>
      <c r="C13" s="2" t="s">
        <v>14</v>
      </c>
      <c r="D13" s="2" t="s">
        <v>21</v>
      </c>
      <c r="E13" s="2">
        <v>176214</v>
      </c>
      <c r="F13" s="2">
        <v>120000</v>
      </c>
      <c r="G13" s="2" t="s">
        <v>10</v>
      </c>
      <c r="H13" t="str">
        <f t="shared" si="0"/>
        <v>Achived</v>
      </c>
    </row>
    <row r="14" spans="1:8" x14ac:dyDescent="0.35">
      <c r="A14" s="2">
        <v>8013</v>
      </c>
      <c r="B14" s="2" t="s">
        <v>7</v>
      </c>
      <c r="C14" s="2" t="s">
        <v>8</v>
      </c>
      <c r="D14" s="2" t="s">
        <v>9</v>
      </c>
      <c r="E14" s="2">
        <v>146104</v>
      </c>
      <c r="F14" s="2">
        <v>80000</v>
      </c>
      <c r="G14" s="2" t="s">
        <v>17</v>
      </c>
      <c r="H14" t="str">
        <f t="shared" si="0"/>
        <v>Achived</v>
      </c>
    </row>
    <row r="15" spans="1:8" x14ac:dyDescent="0.35">
      <c r="A15" s="2">
        <v>8014</v>
      </c>
      <c r="B15" s="2" t="s">
        <v>13</v>
      </c>
      <c r="C15" s="2" t="s">
        <v>14</v>
      </c>
      <c r="D15" s="2" t="s">
        <v>22</v>
      </c>
      <c r="E15" s="2">
        <v>140391</v>
      </c>
      <c r="F15" s="2">
        <v>180000</v>
      </c>
      <c r="G15" s="2" t="s">
        <v>15</v>
      </c>
      <c r="H15" t="str">
        <f t="shared" si="0"/>
        <v>Not Achived</v>
      </c>
    </row>
    <row r="16" spans="1:8" x14ac:dyDescent="0.35">
      <c r="A16" s="2">
        <v>8015</v>
      </c>
      <c r="B16" s="2" t="s">
        <v>18</v>
      </c>
      <c r="C16" s="2" t="s">
        <v>14</v>
      </c>
      <c r="D16" s="2" t="s">
        <v>9</v>
      </c>
      <c r="E16" s="2">
        <v>82858</v>
      </c>
      <c r="F16" s="2">
        <v>100000</v>
      </c>
      <c r="G16" s="2" t="s">
        <v>15</v>
      </c>
      <c r="H16" t="str">
        <f t="shared" si="0"/>
        <v>Not Achived</v>
      </c>
    </row>
    <row r="17" spans="1:8" x14ac:dyDescent="0.35">
      <c r="A17" s="2">
        <v>8016</v>
      </c>
      <c r="B17" s="2" t="s">
        <v>13</v>
      </c>
      <c r="C17" s="2" t="s">
        <v>14</v>
      </c>
      <c r="D17" s="2" t="s">
        <v>22</v>
      </c>
      <c r="E17" s="2">
        <v>196616</v>
      </c>
      <c r="F17" s="2">
        <v>150000</v>
      </c>
      <c r="G17" s="2" t="s">
        <v>16</v>
      </c>
      <c r="H17" t="str">
        <f t="shared" si="0"/>
        <v>Achived</v>
      </c>
    </row>
    <row r="18" spans="1:8" x14ac:dyDescent="0.35">
      <c r="A18" s="2">
        <v>8017</v>
      </c>
      <c r="B18" s="2" t="s">
        <v>18</v>
      </c>
      <c r="C18" s="2" t="s">
        <v>14</v>
      </c>
      <c r="D18" s="2" t="s">
        <v>12</v>
      </c>
      <c r="E18" s="2">
        <v>224874</v>
      </c>
      <c r="F18" s="2">
        <v>80000</v>
      </c>
      <c r="G18" s="2" t="s">
        <v>16</v>
      </c>
      <c r="H18" t="str">
        <f t="shared" si="0"/>
        <v>Achived</v>
      </c>
    </row>
    <row r="19" spans="1:8" x14ac:dyDescent="0.35">
      <c r="A19" s="2">
        <v>8018</v>
      </c>
      <c r="B19" s="2" t="s">
        <v>11</v>
      </c>
      <c r="C19" s="2" t="s">
        <v>8</v>
      </c>
      <c r="D19" s="2" t="s">
        <v>21</v>
      </c>
      <c r="E19" s="2">
        <v>184068</v>
      </c>
      <c r="F19" s="2">
        <v>120000</v>
      </c>
      <c r="G19" s="2" t="s">
        <v>20</v>
      </c>
      <c r="H19" t="str">
        <f t="shared" si="0"/>
        <v>Achived</v>
      </c>
    </row>
    <row r="20" spans="1:8" x14ac:dyDescent="0.35">
      <c r="A20" s="2">
        <v>8019</v>
      </c>
      <c r="B20" s="2" t="s">
        <v>7</v>
      </c>
      <c r="C20" s="2" t="s">
        <v>8</v>
      </c>
      <c r="D20" s="2" t="s">
        <v>22</v>
      </c>
      <c r="E20" s="2">
        <v>142890</v>
      </c>
      <c r="F20" s="2">
        <v>120000</v>
      </c>
      <c r="G20" s="2" t="s">
        <v>20</v>
      </c>
      <c r="H20" t="str">
        <f t="shared" si="0"/>
        <v>Achived</v>
      </c>
    </row>
    <row r="21" spans="1:8" x14ac:dyDescent="0.35">
      <c r="A21" s="2">
        <v>8020</v>
      </c>
      <c r="B21" s="2" t="s">
        <v>13</v>
      </c>
      <c r="C21" s="2" t="s">
        <v>14</v>
      </c>
      <c r="D21" s="2" t="s">
        <v>22</v>
      </c>
      <c r="E21" s="2">
        <v>193614</v>
      </c>
      <c r="F21" s="2">
        <v>100000</v>
      </c>
      <c r="G21" s="2" t="s">
        <v>20</v>
      </c>
      <c r="H21" t="str">
        <f t="shared" si="0"/>
        <v>Achived</v>
      </c>
    </row>
    <row r="22" spans="1:8" x14ac:dyDescent="0.35">
      <c r="A22" s="2">
        <v>8021</v>
      </c>
      <c r="B22" s="2" t="s">
        <v>7</v>
      </c>
      <c r="C22" s="2" t="s">
        <v>8</v>
      </c>
      <c r="D22" s="2" t="s">
        <v>22</v>
      </c>
      <c r="E22" s="2">
        <v>51339</v>
      </c>
      <c r="F22" s="2">
        <v>120000</v>
      </c>
      <c r="G22" s="2" t="s">
        <v>16</v>
      </c>
      <c r="H22" t="str">
        <f t="shared" si="0"/>
        <v>Not Achived</v>
      </c>
    </row>
    <row r="23" spans="1:8" x14ac:dyDescent="0.35">
      <c r="A23" s="2">
        <v>8022</v>
      </c>
      <c r="B23" s="2" t="s">
        <v>7</v>
      </c>
      <c r="C23" s="2" t="s">
        <v>8</v>
      </c>
      <c r="D23" s="2" t="s">
        <v>9</v>
      </c>
      <c r="E23" s="2">
        <v>138315</v>
      </c>
      <c r="F23" s="2">
        <v>100000</v>
      </c>
      <c r="G23" s="2" t="s">
        <v>20</v>
      </c>
      <c r="H23" t="str">
        <f t="shared" si="0"/>
        <v>Achived</v>
      </c>
    </row>
    <row r="24" spans="1:8" x14ac:dyDescent="0.35">
      <c r="A24" s="2">
        <v>8023</v>
      </c>
      <c r="B24" s="2" t="s">
        <v>11</v>
      </c>
      <c r="C24" s="2" t="s">
        <v>8</v>
      </c>
      <c r="D24" s="2" t="s">
        <v>12</v>
      </c>
      <c r="E24" s="2">
        <v>168013</v>
      </c>
      <c r="F24" s="2">
        <v>120000</v>
      </c>
      <c r="G24" s="2" t="s">
        <v>15</v>
      </c>
      <c r="H24" t="str">
        <f t="shared" si="0"/>
        <v>Achived</v>
      </c>
    </row>
    <row r="25" spans="1:8" x14ac:dyDescent="0.35">
      <c r="A25" s="2">
        <v>8024</v>
      </c>
      <c r="B25" s="2" t="s">
        <v>11</v>
      </c>
      <c r="C25" s="2" t="s">
        <v>8</v>
      </c>
      <c r="D25" s="2" t="s">
        <v>12</v>
      </c>
      <c r="E25" s="2">
        <v>54235</v>
      </c>
      <c r="F25" s="2">
        <v>150000</v>
      </c>
      <c r="G25" s="2" t="s">
        <v>17</v>
      </c>
      <c r="H25" t="str">
        <f t="shared" si="0"/>
        <v>Not Achived</v>
      </c>
    </row>
    <row r="26" spans="1:8" x14ac:dyDescent="0.35">
      <c r="A26" s="2">
        <v>8025</v>
      </c>
      <c r="B26" s="2" t="s">
        <v>18</v>
      </c>
      <c r="C26" s="2" t="s">
        <v>14</v>
      </c>
      <c r="D26" s="2" t="s">
        <v>22</v>
      </c>
      <c r="E26" s="2">
        <v>62132</v>
      </c>
      <c r="F26" s="2">
        <v>150000</v>
      </c>
      <c r="G26" s="2" t="s">
        <v>10</v>
      </c>
      <c r="H26" t="str">
        <f t="shared" si="0"/>
        <v>Not Achived</v>
      </c>
    </row>
    <row r="27" spans="1:8" x14ac:dyDescent="0.35">
      <c r="A27" s="2">
        <v>8026</v>
      </c>
      <c r="B27" s="2" t="s">
        <v>13</v>
      </c>
      <c r="C27" s="2" t="s">
        <v>14</v>
      </c>
      <c r="D27" s="2" t="s">
        <v>22</v>
      </c>
      <c r="E27" s="2">
        <v>54936</v>
      </c>
      <c r="F27" s="2">
        <v>80000</v>
      </c>
      <c r="G27" s="2" t="s">
        <v>17</v>
      </c>
      <c r="H27" t="str">
        <f t="shared" si="0"/>
        <v>Not Achived</v>
      </c>
    </row>
    <row r="28" spans="1:8" x14ac:dyDescent="0.35">
      <c r="A28" s="2">
        <v>8027</v>
      </c>
      <c r="B28" s="2" t="s">
        <v>23</v>
      </c>
      <c r="C28" s="2" t="s">
        <v>8</v>
      </c>
      <c r="D28" s="2" t="s">
        <v>9</v>
      </c>
      <c r="E28" s="2">
        <v>70865</v>
      </c>
      <c r="F28" s="2">
        <v>180000</v>
      </c>
      <c r="G28" s="2" t="s">
        <v>16</v>
      </c>
      <c r="H28" t="str">
        <f t="shared" si="0"/>
        <v>Not Achived</v>
      </c>
    </row>
    <row r="29" spans="1:8" x14ac:dyDescent="0.35">
      <c r="A29" s="2">
        <v>8028</v>
      </c>
      <c r="B29" s="2" t="s">
        <v>13</v>
      </c>
      <c r="C29" s="2" t="s">
        <v>14</v>
      </c>
      <c r="D29" s="2" t="s">
        <v>21</v>
      </c>
      <c r="E29" s="2">
        <v>102625</v>
      </c>
      <c r="F29" s="2">
        <v>150000</v>
      </c>
      <c r="G29" s="2" t="s">
        <v>15</v>
      </c>
      <c r="H29" t="str">
        <f t="shared" si="0"/>
        <v>Not Achived</v>
      </c>
    </row>
    <row r="30" spans="1:8" x14ac:dyDescent="0.35">
      <c r="A30" s="2">
        <v>8029</v>
      </c>
      <c r="B30" s="2" t="s">
        <v>19</v>
      </c>
      <c r="C30" s="2" t="s">
        <v>14</v>
      </c>
      <c r="D30" s="2" t="s">
        <v>22</v>
      </c>
      <c r="E30" s="2">
        <v>76172</v>
      </c>
      <c r="F30" s="2">
        <v>100000</v>
      </c>
      <c r="G30" s="2" t="s">
        <v>15</v>
      </c>
      <c r="H30" t="str">
        <f t="shared" si="0"/>
        <v>Not Achived</v>
      </c>
    </row>
    <row r="31" spans="1:8" x14ac:dyDescent="0.35">
      <c r="A31" s="2">
        <v>8030</v>
      </c>
      <c r="B31" s="2" t="s">
        <v>13</v>
      </c>
      <c r="C31" s="2" t="s">
        <v>14</v>
      </c>
      <c r="D31" s="2" t="s">
        <v>22</v>
      </c>
      <c r="E31" s="2">
        <v>148796</v>
      </c>
      <c r="F31" s="2">
        <v>180000</v>
      </c>
      <c r="G31" s="2" t="s">
        <v>20</v>
      </c>
      <c r="H31" t="str">
        <f t="shared" si="0"/>
        <v>Not Achived</v>
      </c>
    </row>
    <row r="32" spans="1:8" x14ac:dyDescent="0.35">
      <c r="A32" s="2">
        <v>8031</v>
      </c>
      <c r="B32" s="2" t="s">
        <v>18</v>
      </c>
      <c r="C32" s="2" t="s">
        <v>14</v>
      </c>
      <c r="D32" s="2" t="s">
        <v>9</v>
      </c>
      <c r="E32" s="2">
        <v>96373</v>
      </c>
      <c r="F32" s="2">
        <v>120000</v>
      </c>
      <c r="G32" s="2" t="s">
        <v>20</v>
      </c>
      <c r="H32" t="str">
        <f t="shared" si="0"/>
        <v>Not Achived</v>
      </c>
    </row>
    <row r="33" spans="1:8" x14ac:dyDescent="0.35">
      <c r="A33" s="2">
        <v>8032</v>
      </c>
      <c r="B33" s="2" t="s">
        <v>19</v>
      </c>
      <c r="C33" s="2" t="s">
        <v>14</v>
      </c>
      <c r="D33" s="2" t="s">
        <v>12</v>
      </c>
      <c r="E33" s="2">
        <v>228397</v>
      </c>
      <c r="F33" s="2">
        <v>120000</v>
      </c>
      <c r="G33" s="2" t="s">
        <v>20</v>
      </c>
      <c r="H33" t="str">
        <f t="shared" si="0"/>
        <v>Achived</v>
      </c>
    </row>
    <row r="34" spans="1:8" x14ac:dyDescent="0.35">
      <c r="A34" s="2">
        <v>8033</v>
      </c>
      <c r="B34" s="2" t="s">
        <v>18</v>
      </c>
      <c r="C34" s="2" t="s">
        <v>14</v>
      </c>
      <c r="D34" s="2" t="s">
        <v>12</v>
      </c>
      <c r="E34" s="2">
        <v>115610</v>
      </c>
      <c r="F34" s="2">
        <v>150000</v>
      </c>
      <c r="G34" s="2" t="s">
        <v>15</v>
      </c>
      <c r="H34" t="str">
        <f t="shared" si="0"/>
        <v>Not Achived</v>
      </c>
    </row>
    <row r="35" spans="1:8" x14ac:dyDescent="0.35">
      <c r="A35" s="2">
        <v>8034</v>
      </c>
      <c r="B35" s="2" t="s">
        <v>18</v>
      </c>
      <c r="C35" s="2" t="s">
        <v>14</v>
      </c>
      <c r="D35" s="2" t="s">
        <v>12</v>
      </c>
      <c r="E35" s="2">
        <v>213822</v>
      </c>
      <c r="F35" s="2">
        <v>120000</v>
      </c>
      <c r="G35" s="2" t="s">
        <v>20</v>
      </c>
      <c r="H35" t="str">
        <f t="shared" si="0"/>
        <v>Achived</v>
      </c>
    </row>
    <row r="36" spans="1:8" x14ac:dyDescent="0.35">
      <c r="A36" s="2">
        <v>8035</v>
      </c>
      <c r="B36" s="2" t="s">
        <v>7</v>
      </c>
      <c r="C36" s="2" t="s">
        <v>8</v>
      </c>
      <c r="D36" s="2" t="s">
        <v>12</v>
      </c>
      <c r="E36" s="2">
        <v>40162</v>
      </c>
      <c r="F36" s="2">
        <v>150000</v>
      </c>
      <c r="G36" s="2" t="s">
        <v>15</v>
      </c>
      <c r="H36" t="str">
        <f t="shared" si="0"/>
        <v>Not Achived</v>
      </c>
    </row>
    <row r="37" spans="1:8" x14ac:dyDescent="0.35">
      <c r="A37" s="2">
        <v>8036</v>
      </c>
      <c r="B37" s="2" t="s">
        <v>19</v>
      </c>
      <c r="C37" s="2" t="s">
        <v>14</v>
      </c>
      <c r="D37" s="2" t="s">
        <v>9</v>
      </c>
      <c r="E37" s="2">
        <v>47121</v>
      </c>
      <c r="F37" s="2">
        <v>80000</v>
      </c>
      <c r="G37" s="2" t="s">
        <v>15</v>
      </c>
      <c r="H37" t="str">
        <f t="shared" si="0"/>
        <v>Not Achived</v>
      </c>
    </row>
    <row r="38" spans="1:8" x14ac:dyDescent="0.35">
      <c r="A38" s="2">
        <v>8037</v>
      </c>
      <c r="B38" s="2" t="s">
        <v>11</v>
      </c>
      <c r="C38" s="2" t="s">
        <v>8</v>
      </c>
      <c r="D38" s="2" t="s">
        <v>22</v>
      </c>
      <c r="E38" s="2">
        <v>193396</v>
      </c>
      <c r="F38" s="2">
        <v>120000</v>
      </c>
      <c r="G38" s="2" t="s">
        <v>20</v>
      </c>
      <c r="H38" t="str">
        <f t="shared" si="0"/>
        <v>Achived</v>
      </c>
    </row>
    <row r="39" spans="1:8" x14ac:dyDescent="0.35">
      <c r="A39" s="2">
        <v>8038</v>
      </c>
      <c r="B39" s="2" t="s">
        <v>23</v>
      </c>
      <c r="C39" s="2" t="s">
        <v>8</v>
      </c>
      <c r="D39" s="2" t="s">
        <v>12</v>
      </c>
      <c r="E39" s="2">
        <v>185363</v>
      </c>
      <c r="F39" s="2">
        <v>120000</v>
      </c>
      <c r="G39" s="2" t="s">
        <v>17</v>
      </c>
      <c r="H39" t="str">
        <f t="shared" si="0"/>
        <v>Achived</v>
      </c>
    </row>
    <row r="40" spans="1:8" x14ac:dyDescent="0.35">
      <c r="A40" s="2">
        <v>8039</v>
      </c>
      <c r="B40" s="2" t="s">
        <v>13</v>
      </c>
      <c r="C40" s="2" t="s">
        <v>14</v>
      </c>
      <c r="D40" s="2" t="s">
        <v>9</v>
      </c>
      <c r="E40" s="2">
        <v>244369</v>
      </c>
      <c r="F40" s="2">
        <v>120000</v>
      </c>
      <c r="G40" s="2" t="s">
        <v>17</v>
      </c>
      <c r="H40" t="str">
        <f t="shared" si="0"/>
        <v>Achived</v>
      </c>
    </row>
    <row r="41" spans="1:8" x14ac:dyDescent="0.35">
      <c r="A41" s="2">
        <v>8040</v>
      </c>
      <c r="B41" s="2" t="s">
        <v>7</v>
      </c>
      <c r="C41" s="2" t="s">
        <v>8</v>
      </c>
      <c r="D41" s="2" t="s">
        <v>22</v>
      </c>
      <c r="E41" s="2">
        <v>163615</v>
      </c>
      <c r="F41" s="2">
        <v>180000</v>
      </c>
      <c r="G41" s="2" t="s">
        <v>16</v>
      </c>
      <c r="H41" t="str">
        <f t="shared" si="0"/>
        <v>Not Achived</v>
      </c>
    </row>
    <row r="42" spans="1:8" x14ac:dyDescent="0.35">
      <c r="A42" s="2">
        <v>8041</v>
      </c>
      <c r="B42" s="2" t="s">
        <v>23</v>
      </c>
      <c r="C42" s="2" t="s">
        <v>8</v>
      </c>
      <c r="D42" s="2" t="s">
        <v>12</v>
      </c>
      <c r="E42" s="2">
        <v>57045</v>
      </c>
      <c r="F42" s="2">
        <v>100000</v>
      </c>
      <c r="G42" s="2" t="s">
        <v>16</v>
      </c>
      <c r="H42" t="str">
        <f t="shared" si="0"/>
        <v>Not Achived</v>
      </c>
    </row>
    <row r="43" spans="1:8" x14ac:dyDescent="0.35">
      <c r="A43" s="2">
        <v>8042</v>
      </c>
      <c r="B43" s="2" t="s">
        <v>7</v>
      </c>
      <c r="C43" s="2" t="s">
        <v>8</v>
      </c>
      <c r="D43" s="2" t="s">
        <v>12</v>
      </c>
      <c r="E43" s="2">
        <v>33882</v>
      </c>
      <c r="F43" s="2">
        <v>120000</v>
      </c>
      <c r="G43" s="2" t="s">
        <v>20</v>
      </c>
      <c r="H43" t="str">
        <f t="shared" si="0"/>
        <v>Not Achived</v>
      </c>
    </row>
    <row r="44" spans="1:8" x14ac:dyDescent="0.35">
      <c r="A44" s="2">
        <v>8043</v>
      </c>
      <c r="B44" s="2" t="s">
        <v>11</v>
      </c>
      <c r="C44" s="2" t="s">
        <v>8</v>
      </c>
      <c r="D44" s="2" t="s">
        <v>9</v>
      </c>
      <c r="E44" s="2">
        <v>130616</v>
      </c>
      <c r="F44" s="2">
        <v>150000</v>
      </c>
      <c r="G44" s="2" t="s">
        <v>16</v>
      </c>
      <c r="H44" t="str">
        <f t="shared" si="0"/>
        <v>Not Achived</v>
      </c>
    </row>
    <row r="45" spans="1:8" x14ac:dyDescent="0.35">
      <c r="A45" s="2">
        <v>8044</v>
      </c>
      <c r="B45" s="2" t="s">
        <v>11</v>
      </c>
      <c r="C45" s="2" t="s">
        <v>8</v>
      </c>
      <c r="D45" s="2" t="s">
        <v>9</v>
      </c>
      <c r="E45" s="2">
        <v>101845</v>
      </c>
      <c r="F45" s="2">
        <v>150000</v>
      </c>
      <c r="G45" s="2" t="s">
        <v>10</v>
      </c>
      <c r="H45" t="str">
        <f t="shared" si="0"/>
        <v>Not Achived</v>
      </c>
    </row>
    <row r="46" spans="1:8" x14ac:dyDescent="0.35">
      <c r="A46" s="2">
        <v>8045</v>
      </c>
      <c r="B46" s="2" t="s">
        <v>7</v>
      </c>
      <c r="C46" s="2" t="s">
        <v>8</v>
      </c>
      <c r="D46" s="2" t="s">
        <v>9</v>
      </c>
      <c r="E46" s="2">
        <v>39629</v>
      </c>
      <c r="F46" s="2">
        <v>150000</v>
      </c>
      <c r="G46" s="2" t="s">
        <v>15</v>
      </c>
      <c r="H46" t="str">
        <f t="shared" si="0"/>
        <v>Not Achived</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tabSelected="1" topLeftCell="B1" workbookViewId="0">
      <selection activeCell="F5" sqref="F5"/>
    </sheetView>
  </sheetViews>
  <sheetFormatPr defaultRowHeight="14.5" x14ac:dyDescent="0.35"/>
  <cols>
    <col min="1" max="1" width="66.6328125" bestFit="1" customWidth="1"/>
    <col min="2" max="2" width="16" customWidth="1"/>
  </cols>
  <sheetData>
    <row r="1" spans="1:2" ht="28" x14ac:dyDescent="0.6">
      <c r="A1" s="3" t="s">
        <v>24</v>
      </c>
    </row>
    <row r="3" spans="1:2" ht="23.5" x14ac:dyDescent="0.55000000000000004">
      <c r="A3" s="5" t="s">
        <v>25</v>
      </c>
      <c r="B3" s="6">
        <f>SUM('Sales Data'!E2:E46)</f>
        <v>6017848</v>
      </c>
    </row>
    <row r="4" spans="1:2" ht="23.5" x14ac:dyDescent="0.55000000000000004">
      <c r="A4" s="5" t="s">
        <v>26</v>
      </c>
      <c r="B4" s="6">
        <f>COUNTA('Sales Data'!A2:A46)</f>
        <v>45</v>
      </c>
    </row>
    <row r="5" spans="1:2" ht="23.5" x14ac:dyDescent="0.55000000000000004">
      <c r="A5" s="5" t="s">
        <v>27</v>
      </c>
      <c r="B5" s="6">
        <f>COUNTIF('Sales Data'!H2:H46,"Achived")</f>
        <v>22</v>
      </c>
    </row>
    <row r="6" spans="1:2" ht="23.5" x14ac:dyDescent="0.55000000000000004">
      <c r="A6" s="5" t="s">
        <v>28</v>
      </c>
      <c r="B6" s="6">
        <f>AVERAGE('Sales Data'!E2:E46)</f>
        <v>133729.95555555556</v>
      </c>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naheedakhtar7952@gmail.com</cp:lastModifiedBy>
  <dcterms:created xsi:type="dcterms:W3CDTF">2026-08-26T11:55:20Z</dcterms:created>
  <dcterms:modified xsi:type="dcterms:W3CDTF">2026-08-26T12:52:12Z</dcterms:modified>
</cp:coreProperties>
</file>