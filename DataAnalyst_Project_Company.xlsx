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esktop\"/>
    </mc:Choice>
  </mc:AlternateContent>
  <xr:revisionPtr revIDLastSave="0" documentId="8_{75C3AE23-0BBD-4C6A-8123-A5DAE20447D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Product Master" sheetId="1" r:id="rId1"/>
    <sheet name="Sales Orders" sheetId="2" r:id="rId2"/>
    <sheet name="Summary" sheetId="3" r:id="rId3"/>
  </sheets>
  <calcPr calcId="191029"/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</calcChain>
</file>

<file path=xl/sharedStrings.xml><?xml version="1.0" encoding="utf-8"?>
<sst xmlns="http://schemas.openxmlformats.org/spreadsheetml/2006/main" count="88" uniqueCount="34">
  <si>
    <t>Product Code</t>
  </si>
  <si>
    <t>Product Name</t>
  </si>
  <si>
    <t>Category</t>
  </si>
  <si>
    <t>Unit Price</t>
  </si>
  <si>
    <t>P01</t>
  </si>
  <si>
    <t>Laptop</t>
  </si>
  <si>
    <t>Electronics</t>
  </si>
  <si>
    <t>P02</t>
  </si>
  <si>
    <t>Mouse</t>
  </si>
  <si>
    <t>Accessories</t>
  </si>
  <si>
    <t>P03</t>
  </si>
  <si>
    <t>Monitor</t>
  </si>
  <si>
    <t>P04</t>
  </si>
  <si>
    <t>Keyboard</t>
  </si>
  <si>
    <t>P05</t>
  </si>
  <si>
    <t>Headphones</t>
  </si>
  <si>
    <t>P06</t>
  </si>
  <si>
    <t>Printer</t>
  </si>
  <si>
    <t>Order ID</t>
  </si>
  <si>
    <t>Region</t>
  </si>
  <si>
    <t>Units Sold</t>
  </si>
  <si>
    <t>Revenue</t>
  </si>
  <si>
    <t>East</t>
  </si>
  <si>
    <t>South</t>
  </si>
  <si>
    <t>West</t>
  </si>
  <si>
    <t>North</t>
  </si>
  <si>
    <t>Insight</t>
  </si>
  <si>
    <t>Value</t>
  </si>
  <si>
    <t>Total Revenue (All Orders)</t>
  </si>
  <si>
    <t>Total Orders</t>
  </si>
  <si>
    <t>Electronics - Total Revenue</t>
  </si>
  <si>
    <t>Accessories - Total Revenue</t>
  </si>
  <si>
    <t>North Region - Order Count</t>
  </si>
  <si>
    <t>Average Units Sold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</si>
</sst>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21" sqref="C21"/>
    </sheetView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1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50000</v>
      </c>
    </row>
    <row r="3" spans="1:4" x14ac:dyDescent="0.35">
      <c r="A3" s="2" t="s">
        <v>7</v>
      </c>
      <c r="B3" s="2" t="s">
        <v>8</v>
      </c>
      <c r="C3" s="2" t="s">
        <v>9</v>
      </c>
      <c r="D3" s="2">
        <v>500</v>
      </c>
    </row>
    <row r="4" spans="1:4" x14ac:dyDescent="0.35">
      <c r="A4" s="2" t="s">
        <v>10</v>
      </c>
      <c r="B4" s="2" t="s">
        <v>11</v>
      </c>
      <c r="C4" s="2" t="s">
        <v>6</v>
      </c>
      <c r="D4" s="2">
        <v>15000</v>
      </c>
    </row>
    <row r="5" spans="1:4" x14ac:dyDescent="0.35">
      <c r="A5" s="2" t="s">
        <v>12</v>
      </c>
      <c r="B5" s="2" t="s">
        <v>13</v>
      </c>
      <c r="C5" s="2" t="s">
        <v>9</v>
      </c>
      <c r="D5" s="2">
        <v>1500</v>
      </c>
    </row>
    <row r="6" spans="1:4" x14ac:dyDescent="0.35">
      <c r="A6" s="2" t="s">
        <v>14</v>
      </c>
      <c r="B6" s="2" t="s">
        <v>15</v>
      </c>
      <c r="C6" s="2" t="s">
        <v>9</v>
      </c>
      <c r="D6" s="2">
        <v>1200</v>
      </c>
    </row>
    <row r="7" spans="1:4" x14ac:dyDescent="0.35">
      <c r="A7" s="2" t="s">
        <v>16</v>
      </c>
      <c r="B7" s="2" t="s">
        <v>17</v>
      </c>
      <c r="C7" s="2" t="s">
        <v>6</v>
      </c>
      <c r="D7" s="2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8" workbookViewId="0">
      <selection activeCell="I18" sqref="I18"/>
    </sheetView>
  </sheetViews>
  <sheetFormatPr defaultRowHeight="14.5" x14ac:dyDescent="0.35"/>
  <cols>
    <col min="1" max="1" width="10" customWidth="1"/>
    <col min="2" max="2" width="14" customWidth="1"/>
    <col min="3" max="3" width="10" customWidth="1"/>
    <col min="4" max="4" width="12" customWidth="1"/>
    <col min="5" max="6" width="14" customWidth="1"/>
    <col min="7" max="8" width="12" customWidth="1"/>
  </cols>
  <sheetData>
    <row r="1" spans="1:8" x14ac:dyDescent="0.35">
      <c r="A1" s="1" t="s">
        <v>18</v>
      </c>
      <c r="B1" s="1" t="s">
        <v>0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21</v>
      </c>
    </row>
    <row r="2" spans="1:8" x14ac:dyDescent="0.35">
      <c r="A2" s="2">
        <v>4001</v>
      </c>
      <c r="B2" s="2" t="s">
        <v>10</v>
      </c>
      <c r="C2" s="2" t="s">
        <v>22</v>
      </c>
      <c r="D2" s="2">
        <v>15</v>
      </c>
      <c r="E2" t="str">
        <f>VLOOKUP(B2,'Product Master'!$A$2:$D$7,2,FALSE)</f>
        <v>Monitor</v>
      </c>
      <c r="F2" t="str">
        <f>VLOOKUP(B2,'Product Master'!$A$2:$D$7,3,FALSE)</f>
        <v>Electronics</v>
      </c>
      <c r="G2">
        <f>VLOOKUP(B2,'Product Master'!$A$2:$D$7,4,FALSE)</f>
        <v>15000</v>
      </c>
      <c r="H2">
        <f>D2*G2</f>
        <v>225000</v>
      </c>
    </row>
    <row r="3" spans="1:8" x14ac:dyDescent="0.35">
      <c r="A3" s="2">
        <v>4002</v>
      </c>
      <c r="B3" s="2" t="s">
        <v>7</v>
      </c>
      <c r="C3" s="2" t="s">
        <v>23</v>
      </c>
      <c r="D3" s="2">
        <v>10</v>
      </c>
      <c r="E3" t="str">
        <f>VLOOKUP(B3,'Product Master'!$A$2:$D$7,2,FALSE)</f>
        <v>Mouse</v>
      </c>
      <c r="F3" t="str">
        <f>VLOOKUP(B3,'Product Master'!$A$2:$D$7,3,FALSE)</f>
        <v>Accessories</v>
      </c>
      <c r="G3">
        <f>VLOOKUP(B3,'Product Master'!$A$2:$D$7,4,FALSE)</f>
        <v>500</v>
      </c>
      <c r="H3">
        <f t="shared" ref="H3:H26" si="0">D3*G3</f>
        <v>5000</v>
      </c>
    </row>
    <row r="4" spans="1:8" x14ac:dyDescent="0.35">
      <c r="A4" s="2">
        <v>4003</v>
      </c>
      <c r="B4" s="2" t="s">
        <v>10</v>
      </c>
      <c r="C4" s="2" t="s">
        <v>24</v>
      </c>
      <c r="D4" s="2">
        <v>38</v>
      </c>
      <c r="E4" t="str">
        <f>VLOOKUP(B4,'Product Master'!$A$2:$D$7,2,FALSE)</f>
        <v>Monitor</v>
      </c>
      <c r="F4" t="str">
        <f>VLOOKUP(B4,'Product Master'!$A$2:$D$7,3,FALSE)</f>
        <v>Electronics</v>
      </c>
      <c r="G4">
        <f>VLOOKUP(B4,'Product Master'!$A$2:$D$7,4,FALSE)</f>
        <v>15000</v>
      </c>
      <c r="H4">
        <f t="shared" si="0"/>
        <v>570000</v>
      </c>
    </row>
    <row r="5" spans="1:8" x14ac:dyDescent="0.35">
      <c r="A5" s="2">
        <v>4004</v>
      </c>
      <c r="B5" s="2" t="s">
        <v>14</v>
      </c>
      <c r="C5" s="2" t="s">
        <v>23</v>
      </c>
      <c r="D5" s="2">
        <v>12</v>
      </c>
      <c r="E5" t="str">
        <f>VLOOKUP(B5,'Product Master'!$A$2:$D$7,2,FALSE)</f>
        <v>Headphones</v>
      </c>
      <c r="F5" t="str">
        <f>VLOOKUP(B5,'Product Master'!$A$2:$D$7,3,FALSE)</f>
        <v>Accessories</v>
      </c>
      <c r="G5">
        <f>VLOOKUP(B5,'Product Master'!$A$2:$D$7,4,FALSE)</f>
        <v>1200</v>
      </c>
      <c r="H5">
        <f t="shared" si="0"/>
        <v>14400</v>
      </c>
    </row>
    <row r="6" spans="1:8" x14ac:dyDescent="0.35">
      <c r="A6" s="2">
        <v>4005</v>
      </c>
      <c r="B6" s="2" t="s">
        <v>14</v>
      </c>
      <c r="C6" s="2" t="s">
        <v>25</v>
      </c>
      <c r="D6" s="2">
        <v>20</v>
      </c>
      <c r="E6" t="str">
        <f>VLOOKUP(B6,'Product Master'!$A$2:$D$7,2,FALSE)</f>
        <v>Headphones</v>
      </c>
      <c r="F6" t="str">
        <f>VLOOKUP(B6,'Product Master'!$A$2:$D$7,3,FALSE)</f>
        <v>Accessories</v>
      </c>
      <c r="G6">
        <f>VLOOKUP(B6,'Product Master'!$A$2:$D$7,4,FALSE)</f>
        <v>1200</v>
      </c>
      <c r="H6">
        <f t="shared" si="0"/>
        <v>24000</v>
      </c>
    </row>
    <row r="7" spans="1:8" x14ac:dyDescent="0.35">
      <c r="A7" s="2">
        <v>4006</v>
      </c>
      <c r="B7" s="2" t="s">
        <v>4</v>
      </c>
      <c r="C7" s="2" t="s">
        <v>24</v>
      </c>
      <c r="D7" s="2">
        <v>14</v>
      </c>
      <c r="E7" t="str">
        <f>VLOOKUP(B7,'Product Master'!$A$2:$D$7,2,FALSE)</f>
        <v>Laptop</v>
      </c>
      <c r="F7" t="str">
        <f>VLOOKUP(B7,'Product Master'!$A$2:$D$7,3,FALSE)</f>
        <v>Electronics</v>
      </c>
      <c r="G7">
        <f>VLOOKUP(B7,'Product Master'!$A$2:$D$7,4,FALSE)</f>
        <v>50000</v>
      </c>
      <c r="H7">
        <f t="shared" si="0"/>
        <v>700000</v>
      </c>
    </row>
    <row r="8" spans="1:8" x14ac:dyDescent="0.35">
      <c r="A8" s="2">
        <v>4007</v>
      </c>
      <c r="B8" s="2" t="s">
        <v>7</v>
      </c>
      <c r="C8" s="2" t="s">
        <v>24</v>
      </c>
      <c r="D8" s="2">
        <v>14</v>
      </c>
      <c r="E8" t="str">
        <f>VLOOKUP(B8,'Product Master'!$A$2:$D$7,2,FALSE)</f>
        <v>Mouse</v>
      </c>
      <c r="F8" t="str">
        <f>VLOOKUP(B8,'Product Master'!$A$2:$D$7,3,FALSE)</f>
        <v>Accessories</v>
      </c>
      <c r="G8">
        <f>VLOOKUP(B8,'Product Master'!$A$2:$D$7,4,FALSE)</f>
        <v>500</v>
      </c>
      <c r="H8">
        <f t="shared" si="0"/>
        <v>7000</v>
      </c>
    </row>
    <row r="9" spans="1:8" x14ac:dyDescent="0.35">
      <c r="A9" s="2">
        <v>4008</v>
      </c>
      <c r="B9" s="2" t="s">
        <v>10</v>
      </c>
      <c r="C9" s="2" t="s">
        <v>22</v>
      </c>
      <c r="D9" s="2">
        <v>10</v>
      </c>
      <c r="E9" t="str">
        <f>VLOOKUP(B9,'Product Master'!$A$2:$D$7,2,FALSE)</f>
        <v>Monitor</v>
      </c>
      <c r="F9" t="str">
        <f>VLOOKUP(B9,'Product Master'!$A$2:$D$7,3,FALSE)</f>
        <v>Electronics</v>
      </c>
      <c r="G9">
        <f>VLOOKUP(B9,'Product Master'!$A$2:$D$7,4,FALSE)</f>
        <v>15000</v>
      </c>
      <c r="H9">
        <f t="shared" si="0"/>
        <v>150000</v>
      </c>
    </row>
    <row r="10" spans="1:8" x14ac:dyDescent="0.35">
      <c r="A10" s="2">
        <v>4009</v>
      </c>
      <c r="B10" s="2" t="s">
        <v>4</v>
      </c>
      <c r="C10" s="2" t="s">
        <v>22</v>
      </c>
      <c r="D10" s="2">
        <v>37</v>
      </c>
      <c r="E10" t="str">
        <f>VLOOKUP(B10,'Product Master'!$A$2:$D$7,2,FALSE)</f>
        <v>Laptop</v>
      </c>
      <c r="F10" t="str">
        <f>VLOOKUP(B10,'Product Master'!$A$2:$D$7,3,FALSE)</f>
        <v>Electronics</v>
      </c>
      <c r="G10">
        <f>VLOOKUP(B10,'Product Master'!$A$2:$D$7,4,FALSE)</f>
        <v>50000</v>
      </c>
      <c r="H10">
        <f t="shared" si="0"/>
        <v>1850000</v>
      </c>
    </row>
    <row r="11" spans="1:8" x14ac:dyDescent="0.35">
      <c r="A11" s="2">
        <v>4010</v>
      </c>
      <c r="B11" s="2" t="s">
        <v>12</v>
      </c>
      <c r="C11" s="2" t="s">
        <v>23</v>
      </c>
      <c r="D11" s="2">
        <v>17</v>
      </c>
      <c r="E11" t="str">
        <f>VLOOKUP(B11,'Product Master'!$A$2:$D$7,2,FALSE)</f>
        <v>Keyboard</v>
      </c>
      <c r="F11" t="str">
        <f>VLOOKUP(B11,'Product Master'!$A$2:$D$7,3,FALSE)</f>
        <v>Accessories</v>
      </c>
      <c r="G11">
        <f>VLOOKUP(B11,'Product Master'!$A$2:$D$7,4,FALSE)</f>
        <v>1500</v>
      </c>
      <c r="H11">
        <f t="shared" si="0"/>
        <v>25500</v>
      </c>
    </row>
    <row r="12" spans="1:8" x14ac:dyDescent="0.35">
      <c r="A12" s="2">
        <v>4011</v>
      </c>
      <c r="B12" s="2" t="s">
        <v>7</v>
      </c>
      <c r="C12" s="2" t="s">
        <v>25</v>
      </c>
      <c r="D12" s="2">
        <v>8</v>
      </c>
      <c r="E12" t="str">
        <f>VLOOKUP(B12,'Product Master'!$A$2:$D$7,2,FALSE)</f>
        <v>Mouse</v>
      </c>
      <c r="F12" t="str">
        <f>VLOOKUP(B12,'Product Master'!$A$2:$D$7,3,FALSE)</f>
        <v>Accessories</v>
      </c>
      <c r="G12">
        <f>VLOOKUP(B12,'Product Master'!$A$2:$D$7,4,FALSE)</f>
        <v>500</v>
      </c>
      <c r="H12">
        <f t="shared" si="0"/>
        <v>4000</v>
      </c>
    </row>
    <row r="13" spans="1:8" x14ac:dyDescent="0.35">
      <c r="A13" s="2">
        <v>4012</v>
      </c>
      <c r="B13" s="2" t="s">
        <v>7</v>
      </c>
      <c r="C13" s="2" t="s">
        <v>24</v>
      </c>
      <c r="D13" s="2">
        <v>41</v>
      </c>
      <c r="E13" t="str">
        <f>VLOOKUP(B13,'Product Master'!$A$2:$D$7,2,FALSE)</f>
        <v>Mouse</v>
      </c>
      <c r="F13" t="str">
        <f>VLOOKUP(B13,'Product Master'!$A$2:$D$7,3,FALSE)</f>
        <v>Accessories</v>
      </c>
      <c r="G13">
        <f>VLOOKUP(B13,'Product Master'!$A$2:$D$7,4,FALSE)</f>
        <v>500</v>
      </c>
      <c r="H13">
        <f t="shared" si="0"/>
        <v>20500</v>
      </c>
    </row>
    <row r="14" spans="1:8" x14ac:dyDescent="0.35">
      <c r="A14" s="2">
        <v>4013</v>
      </c>
      <c r="B14" s="2" t="s">
        <v>16</v>
      </c>
      <c r="C14" s="2" t="s">
        <v>25</v>
      </c>
      <c r="D14" s="2">
        <v>9</v>
      </c>
      <c r="E14" t="str">
        <f>VLOOKUP(B14,'Product Master'!$A$2:$D$7,2,FALSE)</f>
        <v>Printer</v>
      </c>
      <c r="F14" t="str">
        <f>VLOOKUP(B14,'Product Master'!$A$2:$D$7,3,FALSE)</f>
        <v>Electronics</v>
      </c>
      <c r="G14">
        <f>VLOOKUP(B14,'Product Master'!$A$2:$D$7,4,FALSE)</f>
        <v>18000</v>
      </c>
      <c r="H14">
        <f t="shared" si="0"/>
        <v>162000</v>
      </c>
    </row>
    <row r="15" spans="1:8" x14ac:dyDescent="0.35">
      <c r="A15" s="2">
        <v>4014</v>
      </c>
      <c r="B15" s="2" t="s">
        <v>16</v>
      </c>
      <c r="C15" s="2" t="s">
        <v>23</v>
      </c>
      <c r="D15" s="2">
        <v>24</v>
      </c>
      <c r="E15" t="str">
        <f>VLOOKUP(B15,'Product Master'!$A$2:$D$7,2,FALSE)</f>
        <v>Printer</v>
      </c>
      <c r="F15" t="str">
        <f>VLOOKUP(B15,'Product Master'!$A$2:$D$7,3,FALSE)</f>
        <v>Electronics</v>
      </c>
      <c r="G15">
        <f>VLOOKUP(B15,'Product Master'!$A$2:$D$7,4,FALSE)</f>
        <v>18000</v>
      </c>
      <c r="H15">
        <f t="shared" si="0"/>
        <v>432000</v>
      </c>
    </row>
    <row r="16" spans="1:8" x14ac:dyDescent="0.35">
      <c r="A16" s="2">
        <v>4015</v>
      </c>
      <c r="B16" s="2" t="s">
        <v>4</v>
      </c>
      <c r="C16" s="2" t="s">
        <v>25</v>
      </c>
      <c r="D16" s="2">
        <v>39</v>
      </c>
      <c r="E16" t="str">
        <f>VLOOKUP(B16,'Product Master'!$A$2:$D$7,2,FALSE)</f>
        <v>Laptop</v>
      </c>
      <c r="F16" t="str">
        <f>VLOOKUP(B16,'Product Master'!$A$2:$D$7,3,FALSE)</f>
        <v>Electronics</v>
      </c>
      <c r="G16">
        <f>VLOOKUP(B16,'Product Master'!$A$2:$D$7,4,FALSE)</f>
        <v>50000</v>
      </c>
      <c r="H16">
        <f t="shared" si="0"/>
        <v>1950000</v>
      </c>
    </row>
    <row r="17" spans="1:8" x14ac:dyDescent="0.35">
      <c r="A17" s="2">
        <v>4016</v>
      </c>
      <c r="B17" s="2" t="s">
        <v>12</v>
      </c>
      <c r="C17" s="2" t="s">
        <v>25</v>
      </c>
      <c r="D17" s="2">
        <v>37</v>
      </c>
      <c r="E17" t="str">
        <f>VLOOKUP(B17,'Product Master'!$A$2:$D$7,2,FALSE)</f>
        <v>Keyboard</v>
      </c>
      <c r="F17" t="str">
        <f>VLOOKUP(B17,'Product Master'!$A$2:$D$7,3,FALSE)</f>
        <v>Accessories</v>
      </c>
      <c r="G17">
        <f>VLOOKUP(B17,'Product Master'!$A$2:$D$7,4,FALSE)</f>
        <v>1500</v>
      </c>
      <c r="H17">
        <f t="shared" si="0"/>
        <v>55500</v>
      </c>
    </row>
    <row r="18" spans="1:8" x14ac:dyDescent="0.35">
      <c r="A18" s="2">
        <v>4017</v>
      </c>
      <c r="B18" s="2" t="s">
        <v>4</v>
      </c>
      <c r="C18" s="2" t="s">
        <v>22</v>
      </c>
      <c r="D18" s="2">
        <v>31</v>
      </c>
      <c r="E18" t="str">
        <f>VLOOKUP(B18,'Product Master'!$A$2:$D$7,2,FALSE)</f>
        <v>Laptop</v>
      </c>
      <c r="F18" t="str">
        <f>VLOOKUP(B18,'Product Master'!$A$2:$D$7,3,FALSE)</f>
        <v>Electronics</v>
      </c>
      <c r="G18">
        <f>VLOOKUP(B18,'Product Master'!$A$2:$D$7,4,FALSE)</f>
        <v>50000</v>
      </c>
      <c r="H18">
        <f t="shared" si="0"/>
        <v>1550000</v>
      </c>
    </row>
    <row r="19" spans="1:8" x14ac:dyDescent="0.35">
      <c r="A19" s="2">
        <v>4018</v>
      </c>
      <c r="B19" s="2" t="s">
        <v>16</v>
      </c>
      <c r="C19" s="2" t="s">
        <v>25</v>
      </c>
      <c r="D19" s="2">
        <v>25</v>
      </c>
      <c r="E19" t="str">
        <f>VLOOKUP(B19,'Product Master'!$A$2:$D$7,2,FALSE)</f>
        <v>Printer</v>
      </c>
      <c r="F19" t="str">
        <f>VLOOKUP(B19,'Product Master'!$A$2:$D$7,3,FALSE)</f>
        <v>Electronics</v>
      </c>
      <c r="G19">
        <f>VLOOKUP(B19,'Product Master'!$A$2:$D$7,4,FALSE)</f>
        <v>18000</v>
      </c>
      <c r="H19">
        <f t="shared" si="0"/>
        <v>450000</v>
      </c>
    </row>
    <row r="20" spans="1:8" x14ac:dyDescent="0.35">
      <c r="A20" s="2">
        <v>4019</v>
      </c>
      <c r="B20" s="2" t="s">
        <v>14</v>
      </c>
      <c r="C20" s="2" t="s">
        <v>25</v>
      </c>
      <c r="D20" s="2">
        <v>28</v>
      </c>
      <c r="E20" t="str">
        <f>VLOOKUP(B20,'Product Master'!$A$2:$D$7,2,FALSE)</f>
        <v>Headphones</v>
      </c>
      <c r="F20" t="str">
        <f>VLOOKUP(B20,'Product Master'!$A$2:$D$7,3,FALSE)</f>
        <v>Accessories</v>
      </c>
      <c r="G20">
        <f>VLOOKUP(B20,'Product Master'!$A$2:$D$7,4,FALSE)</f>
        <v>1200</v>
      </c>
      <c r="H20">
        <f t="shared" si="0"/>
        <v>33600</v>
      </c>
    </row>
    <row r="21" spans="1:8" x14ac:dyDescent="0.35">
      <c r="A21" s="2">
        <v>4020</v>
      </c>
      <c r="B21" s="2" t="s">
        <v>14</v>
      </c>
      <c r="C21" s="2" t="s">
        <v>23</v>
      </c>
      <c r="D21" s="2">
        <v>17</v>
      </c>
      <c r="E21" t="str">
        <f>VLOOKUP(B21,'Product Master'!$A$2:$D$7,2,FALSE)</f>
        <v>Headphones</v>
      </c>
      <c r="F21" t="str">
        <f>VLOOKUP(B21,'Product Master'!$A$2:$D$7,3,FALSE)</f>
        <v>Accessories</v>
      </c>
      <c r="G21">
        <f>VLOOKUP(B21,'Product Master'!$A$2:$D$7,4,FALSE)</f>
        <v>1200</v>
      </c>
      <c r="H21">
        <f t="shared" si="0"/>
        <v>20400</v>
      </c>
    </row>
    <row r="22" spans="1:8" x14ac:dyDescent="0.35">
      <c r="A22" s="2">
        <v>4021</v>
      </c>
      <c r="B22" s="2" t="s">
        <v>14</v>
      </c>
      <c r="C22" s="2" t="s">
        <v>24</v>
      </c>
      <c r="D22" s="2">
        <v>28</v>
      </c>
      <c r="E22" t="str">
        <f>VLOOKUP(B22,'Product Master'!$A$2:$D$7,2,FALSE)</f>
        <v>Headphones</v>
      </c>
      <c r="F22" t="str">
        <f>VLOOKUP(B22,'Product Master'!$A$2:$D$7,3,FALSE)</f>
        <v>Accessories</v>
      </c>
      <c r="G22">
        <f>VLOOKUP(B22,'Product Master'!$A$2:$D$7,4,FALSE)</f>
        <v>1200</v>
      </c>
      <c r="H22">
        <f t="shared" si="0"/>
        <v>33600</v>
      </c>
    </row>
    <row r="23" spans="1:8" x14ac:dyDescent="0.35">
      <c r="A23" s="2">
        <v>4022</v>
      </c>
      <c r="B23" s="2" t="s">
        <v>16</v>
      </c>
      <c r="C23" s="2" t="s">
        <v>23</v>
      </c>
      <c r="D23" s="2">
        <v>27</v>
      </c>
      <c r="E23" t="str">
        <f>VLOOKUP(B23,'Product Master'!$A$2:$D$7,2,FALSE)</f>
        <v>Printer</v>
      </c>
      <c r="F23" t="str">
        <f>VLOOKUP(B23,'Product Master'!$A$2:$D$7,3,FALSE)</f>
        <v>Electronics</v>
      </c>
      <c r="G23">
        <f>VLOOKUP(B23,'Product Master'!$A$2:$D$7,4,FALSE)</f>
        <v>18000</v>
      </c>
      <c r="H23">
        <f t="shared" si="0"/>
        <v>486000</v>
      </c>
    </row>
    <row r="24" spans="1:8" x14ac:dyDescent="0.35">
      <c r="A24" s="2">
        <v>4023</v>
      </c>
      <c r="B24" s="2" t="s">
        <v>4</v>
      </c>
      <c r="C24" s="2" t="s">
        <v>25</v>
      </c>
      <c r="D24" s="2">
        <v>6</v>
      </c>
      <c r="E24" t="str">
        <f>VLOOKUP(B24,'Product Master'!$A$2:$D$7,2,FALSE)</f>
        <v>Laptop</v>
      </c>
      <c r="F24" t="str">
        <f>VLOOKUP(B24,'Product Master'!$A$2:$D$7,3,FALSE)</f>
        <v>Electronics</v>
      </c>
      <c r="G24">
        <f>VLOOKUP(B24,'Product Master'!$A$2:$D$7,4,FALSE)</f>
        <v>50000</v>
      </c>
      <c r="H24">
        <f t="shared" si="0"/>
        <v>300000</v>
      </c>
    </row>
    <row r="25" spans="1:8" x14ac:dyDescent="0.35">
      <c r="A25" s="2">
        <v>4024</v>
      </c>
      <c r="B25" s="2" t="s">
        <v>12</v>
      </c>
      <c r="C25" s="2" t="s">
        <v>25</v>
      </c>
      <c r="D25" s="2">
        <v>25</v>
      </c>
      <c r="E25" t="str">
        <f>VLOOKUP(B25,'Product Master'!$A$2:$D$7,2,FALSE)</f>
        <v>Keyboard</v>
      </c>
      <c r="F25" t="str">
        <f>VLOOKUP(B25,'Product Master'!$A$2:$D$7,3,FALSE)</f>
        <v>Accessories</v>
      </c>
      <c r="G25">
        <f>VLOOKUP(B25,'Product Master'!$A$2:$D$7,4,FALSE)</f>
        <v>1500</v>
      </c>
      <c r="H25">
        <f t="shared" si="0"/>
        <v>37500</v>
      </c>
    </row>
    <row r="26" spans="1:8" x14ac:dyDescent="0.35">
      <c r="A26" s="2">
        <v>4025</v>
      </c>
      <c r="B26" s="2" t="s">
        <v>12</v>
      </c>
      <c r="C26" s="2" t="s">
        <v>25</v>
      </c>
      <c r="D26" s="2">
        <v>19</v>
      </c>
      <c r="E26" t="str">
        <f>VLOOKUP(B26,'Product Master'!$A$2:$D$7,2,FALSE)</f>
        <v>Keyboard</v>
      </c>
      <c r="F26" t="str">
        <f>VLOOKUP(B26,'Product Master'!$A$2:$D$7,3,FALSE)</f>
        <v>Accessories</v>
      </c>
      <c r="G26">
        <f>VLOOKUP(B26,'Product Master'!$A$2:$D$7,4,FALSE)</f>
        <v>1500</v>
      </c>
      <c r="H26">
        <f t="shared" si="0"/>
        <v>28500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C7" sqref="C7"/>
    </sheetView>
  </sheetViews>
  <sheetFormatPr defaultRowHeight="14.5" x14ac:dyDescent="0.35"/>
  <cols>
    <col min="1" max="1" width="32" customWidth="1"/>
    <col min="2" max="2" width="16" customWidth="1"/>
  </cols>
  <sheetData>
    <row r="1" spans="1:2" x14ac:dyDescent="0.35">
      <c r="A1" s="1" t="s">
        <v>26</v>
      </c>
      <c r="B1" s="1" t="s">
        <v>27</v>
      </c>
    </row>
    <row r="2" spans="1:2" x14ac:dyDescent="0.35">
      <c r="A2" s="2" t="s">
        <v>28</v>
      </c>
      <c r="B2">
        <f>SUM('Sales Orders'!H2:H26)</f>
        <v>9134500</v>
      </c>
    </row>
    <row r="3" spans="1:2" x14ac:dyDescent="0.35">
      <c r="A3" s="2" t="s">
        <v>29</v>
      </c>
      <c r="B3">
        <f>COUNTA('Sales Orders'!A2:A26)</f>
        <v>25</v>
      </c>
    </row>
    <row r="4" spans="1:2" x14ac:dyDescent="0.35">
      <c r="A4" s="2" t="s">
        <v>30</v>
      </c>
      <c r="B4">
        <f>SUMIF('Sales Orders'!F2:F26,"Electronics",'Sales Orders'!H2:H26)</f>
        <v>8825000</v>
      </c>
    </row>
    <row r="5" spans="1:2" x14ac:dyDescent="0.35">
      <c r="A5" s="2" t="s">
        <v>31</v>
      </c>
      <c r="B5">
        <f>SUMIF('Sales Orders'!F2:F26,"Accessories",'Sales Orders'!H2:H26)</f>
        <v>309500</v>
      </c>
    </row>
    <row r="6" spans="1:2" x14ac:dyDescent="0.35">
      <c r="A6" s="2" t="s">
        <v>32</v>
      </c>
      <c r="B6">
        <f>COUNTIF('Sales Orders'!C2:C26,"North")</f>
        <v>10</v>
      </c>
    </row>
    <row r="7" spans="1:2" x14ac:dyDescent="0.35">
      <c r="A7" s="2" t="s">
        <v>33</v>
      </c>
      <c r="B7">
        <f>AVERAGE('Sales Orders'!D2:D26)</f>
        <v>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Master</vt:lpstr>
      <vt:lpstr>Sales 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2026-08-15T18:42:42Z</dcterms:created>
  <dcterms:modified xsi:type="dcterms:W3CDTF">2026-08-15T19:19:49Z</dcterms:modified>
</cp:coreProperties>
</file>