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P-TECH\Downloads\"/>
    </mc:Choice>
  </mc:AlternateContent>
  <xr:revisionPtr revIDLastSave="0" documentId="13_ncr:1_{D0B9D703-1B42-4C2F-A3D1-4D935885C20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mployee Insurance" sheetId="1" r:id="rId1"/>
  </sheets>
  <calcPr calcId="191029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</calcChain>
</file>

<file path=xl/sharedStrings.xml><?xml version="1.0" encoding="utf-8"?>
<sst xmlns="http://schemas.openxmlformats.org/spreadsheetml/2006/main" count="76" uniqueCount="43">
  <si>
    <t>Plan Code</t>
  </si>
  <si>
    <t>Plan Name</t>
  </si>
  <si>
    <t>Monthly Premium</t>
  </si>
  <si>
    <t>Employee</t>
  </si>
  <si>
    <t>Annual Cost</t>
  </si>
  <si>
    <t>PLN-A</t>
  </si>
  <si>
    <t>Basic Health</t>
  </si>
  <si>
    <t>Ali Raza</t>
  </si>
  <si>
    <t>PLN-C</t>
  </si>
  <si>
    <t>PLN-B</t>
  </si>
  <si>
    <t>Standard Health</t>
  </si>
  <si>
    <t>Sara Khan</t>
  </si>
  <si>
    <t>Premium Health</t>
  </si>
  <si>
    <t>Ahmed Iqbal</t>
  </si>
  <si>
    <t>PLN-D</t>
  </si>
  <si>
    <t>Family Cover</t>
  </si>
  <si>
    <t>Fatima Noor</t>
  </si>
  <si>
    <t>Bilal Ahmed</t>
  </si>
  <si>
    <t>Ayesha Malik</t>
  </si>
  <si>
    <t>Usman Tariq</t>
  </si>
  <si>
    <t>Hina Shahid</t>
  </si>
  <si>
    <t>Zain Abbas</t>
  </si>
  <si>
    <t>Mahnoor Fahad</t>
  </si>
  <si>
    <t>Kamran Sheikh</t>
  </si>
  <si>
    <t>Nida Yousaf</t>
  </si>
  <si>
    <t>Adeel Rasheed</t>
  </si>
  <si>
    <t>Mariam Farooq</t>
  </si>
  <si>
    <t>Waqas Ali</t>
  </si>
  <si>
    <t>Rabia Hussain</t>
  </si>
  <si>
    <t>Faizan Sheikh</t>
  </si>
  <si>
    <t>Sadia Iqbal</t>
  </si>
  <si>
    <t>Junaid Akhtar</t>
  </si>
  <si>
    <t>Noor ul Ain</t>
  </si>
  <si>
    <t>Hassan Raza</t>
  </si>
  <si>
    <t>Komal Zafar</t>
  </si>
  <si>
    <t>Shahzaib Khan</t>
  </si>
  <si>
    <t>Iqra Batool</t>
  </si>
  <si>
    <t>Talha Mehmood</t>
  </si>
  <si>
    <t>Sana Riaz</t>
  </si>
  <si>
    <t>Danish Elahi</t>
  </si>
  <si>
    <t>Amna Siddiqui</t>
  </si>
  <si>
    <t>Farhan Aslam</t>
  </si>
  <si>
    <t>Laiba Nasir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</si>
</sst>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A4D8F"/>
        <bgColor rgb="FF1A4D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I2" sqref="I2:I31"/>
    </sheetView>
  </sheetViews>
  <sheetFormatPr defaultRowHeight="14.5" x14ac:dyDescent="0.35"/>
  <cols>
    <col min="1" max="1" width="10" customWidth="1"/>
    <col min="2" max="2" width="16" customWidth="1"/>
    <col min="3" max="3" width="14" customWidth="1"/>
    <col min="4" max="4" width="4" customWidth="1"/>
    <col min="5" max="5" width="16" customWidth="1"/>
    <col min="6" max="6" width="10" customWidth="1"/>
    <col min="7" max="7" width="16" customWidth="1"/>
    <col min="8" max="8" width="17" bestFit="1" customWidth="1"/>
    <col min="9" max="9" width="12" customWidth="1"/>
  </cols>
  <sheetData>
    <row r="1" spans="1:9" x14ac:dyDescent="0.35">
      <c r="A1" s="1" t="s">
        <v>0</v>
      </c>
      <c r="B1" s="1" t="s">
        <v>1</v>
      </c>
      <c r="C1" s="1" t="s">
        <v>2</v>
      </c>
      <c r="E1" s="1" t="s">
        <v>3</v>
      </c>
      <c r="F1" s="1" t="s">
        <v>0</v>
      </c>
      <c r="G1" s="1" t="s">
        <v>1</v>
      </c>
      <c r="H1" s="1" t="s">
        <v>2</v>
      </c>
      <c r="I1" s="1" t="s">
        <v>4</v>
      </c>
    </row>
    <row r="2" spans="1:9" x14ac:dyDescent="0.35">
      <c r="A2" s="2" t="s">
        <v>5</v>
      </c>
      <c r="B2" s="2" t="s">
        <v>6</v>
      </c>
      <c r="C2" s="2">
        <v>1500</v>
      </c>
      <c r="E2" s="2" t="s">
        <v>7</v>
      </c>
      <c r="F2" s="2" t="s">
        <v>8</v>
      </c>
      <c r="G2" t="str">
        <f>VLOOKUP(F2,$A$2:$C5,2,FALSE)</f>
        <v>Premium Health</v>
      </c>
      <c r="H2">
        <f>VLOOKUP(F2,$A$2:$C$5,3,FALSE)</f>
        <v>4500</v>
      </c>
      <c r="I2">
        <f>H2*12</f>
        <v>54000</v>
      </c>
    </row>
    <row r="3" spans="1:9" x14ac:dyDescent="0.35">
      <c r="A3" s="2" t="s">
        <v>9</v>
      </c>
      <c r="B3" s="2" t="s">
        <v>10</v>
      </c>
      <c r="C3" s="2">
        <v>2800</v>
      </c>
      <c r="E3" s="2" t="s">
        <v>11</v>
      </c>
      <c r="F3" s="2" t="s">
        <v>5</v>
      </c>
      <c r="G3" t="str">
        <f>VLOOKUP(F3,$A$2:$C6,2,FALSE)</f>
        <v>Basic Health</v>
      </c>
      <c r="H3">
        <f t="shared" ref="H3:H31" si="0">VLOOKUP(F3,$A$2:$C$5,3,FALSE)</f>
        <v>1500</v>
      </c>
      <c r="I3">
        <f t="shared" ref="I3:I31" si="1">H3*12</f>
        <v>18000</v>
      </c>
    </row>
    <row r="4" spans="1:9" x14ac:dyDescent="0.35">
      <c r="A4" s="2" t="s">
        <v>8</v>
      </c>
      <c r="B4" s="2" t="s">
        <v>12</v>
      </c>
      <c r="C4" s="2">
        <v>4500</v>
      </c>
      <c r="E4" s="2" t="s">
        <v>13</v>
      </c>
      <c r="F4" s="2" t="s">
        <v>9</v>
      </c>
      <c r="G4" t="str">
        <f>VLOOKUP(F4,$A$2:$C7,2,FALSE)</f>
        <v>Standard Health</v>
      </c>
      <c r="H4">
        <f t="shared" si="0"/>
        <v>2800</v>
      </c>
      <c r="I4">
        <f t="shared" si="1"/>
        <v>33600</v>
      </c>
    </row>
    <row r="5" spans="1:9" x14ac:dyDescent="0.35">
      <c r="A5" s="2" t="s">
        <v>14</v>
      </c>
      <c r="B5" s="2" t="s">
        <v>15</v>
      </c>
      <c r="C5" s="2">
        <v>6000</v>
      </c>
      <c r="E5" s="2" t="s">
        <v>16</v>
      </c>
      <c r="F5" s="2" t="s">
        <v>5</v>
      </c>
      <c r="G5" t="str">
        <f>VLOOKUP(F5,$A$2:$C8,2,FALSE)</f>
        <v>Basic Health</v>
      </c>
      <c r="H5">
        <f t="shared" si="0"/>
        <v>1500</v>
      </c>
      <c r="I5">
        <f t="shared" si="1"/>
        <v>18000</v>
      </c>
    </row>
    <row r="6" spans="1:9" x14ac:dyDescent="0.35">
      <c r="E6" s="2" t="s">
        <v>17</v>
      </c>
      <c r="F6" s="2" t="s">
        <v>14</v>
      </c>
      <c r="G6" t="str">
        <f>VLOOKUP(F6,$A$2:$C9,2,FALSE)</f>
        <v>Family Cover</v>
      </c>
      <c r="H6">
        <f t="shared" si="0"/>
        <v>6000</v>
      </c>
      <c r="I6">
        <f t="shared" si="1"/>
        <v>72000</v>
      </c>
    </row>
    <row r="7" spans="1:9" x14ac:dyDescent="0.35">
      <c r="E7" s="2" t="s">
        <v>18</v>
      </c>
      <c r="F7" s="2" t="s">
        <v>9</v>
      </c>
      <c r="G7" t="str">
        <f>VLOOKUP(F7,$A$2:$C10,2,FALSE)</f>
        <v>Standard Health</v>
      </c>
      <c r="H7">
        <f t="shared" si="0"/>
        <v>2800</v>
      </c>
      <c r="I7">
        <f t="shared" si="1"/>
        <v>33600</v>
      </c>
    </row>
    <row r="8" spans="1:9" x14ac:dyDescent="0.35">
      <c r="E8" s="2" t="s">
        <v>19</v>
      </c>
      <c r="F8" s="2" t="s">
        <v>8</v>
      </c>
      <c r="G8" t="str">
        <f>VLOOKUP(F8,$A$2:$C11,2,FALSE)</f>
        <v>Premium Health</v>
      </c>
      <c r="H8">
        <f t="shared" si="0"/>
        <v>4500</v>
      </c>
      <c r="I8">
        <f t="shared" si="1"/>
        <v>54000</v>
      </c>
    </row>
    <row r="9" spans="1:9" x14ac:dyDescent="0.35">
      <c r="E9" s="2" t="s">
        <v>20</v>
      </c>
      <c r="F9" s="2" t="s">
        <v>5</v>
      </c>
      <c r="G9" t="str">
        <f>VLOOKUP(F9,$A$2:$C12,2,FALSE)</f>
        <v>Basic Health</v>
      </c>
      <c r="H9">
        <f t="shared" si="0"/>
        <v>1500</v>
      </c>
      <c r="I9">
        <f t="shared" si="1"/>
        <v>18000</v>
      </c>
    </row>
    <row r="10" spans="1:9" x14ac:dyDescent="0.35">
      <c r="E10" s="2" t="s">
        <v>21</v>
      </c>
      <c r="F10" s="2" t="s">
        <v>14</v>
      </c>
      <c r="G10" t="str">
        <f>VLOOKUP(F10,$A$2:$C13,2,FALSE)</f>
        <v>Family Cover</v>
      </c>
      <c r="H10">
        <f t="shared" si="0"/>
        <v>6000</v>
      </c>
      <c r="I10">
        <f t="shared" si="1"/>
        <v>72000</v>
      </c>
    </row>
    <row r="11" spans="1:9" x14ac:dyDescent="0.35">
      <c r="E11" s="2" t="s">
        <v>22</v>
      </c>
      <c r="F11" s="2" t="s">
        <v>8</v>
      </c>
      <c r="G11" t="str">
        <f>VLOOKUP(F11,$A$2:$C14,2,FALSE)</f>
        <v>Premium Health</v>
      </c>
      <c r="H11">
        <f t="shared" si="0"/>
        <v>4500</v>
      </c>
      <c r="I11">
        <f t="shared" si="1"/>
        <v>54000</v>
      </c>
    </row>
    <row r="12" spans="1:9" x14ac:dyDescent="0.35">
      <c r="E12" s="2" t="s">
        <v>23</v>
      </c>
      <c r="F12" s="2" t="s">
        <v>8</v>
      </c>
      <c r="G12" t="str">
        <f>VLOOKUP(F12,$A$2:$C15,2,FALSE)</f>
        <v>Premium Health</v>
      </c>
      <c r="H12">
        <f t="shared" si="0"/>
        <v>4500</v>
      </c>
      <c r="I12">
        <f t="shared" si="1"/>
        <v>54000</v>
      </c>
    </row>
    <row r="13" spans="1:9" x14ac:dyDescent="0.35">
      <c r="E13" s="2" t="s">
        <v>24</v>
      </c>
      <c r="F13" s="2" t="s">
        <v>5</v>
      </c>
      <c r="G13" t="str">
        <f>VLOOKUP(F13,$A$2:$C16,2,FALSE)</f>
        <v>Basic Health</v>
      </c>
      <c r="H13">
        <f t="shared" si="0"/>
        <v>1500</v>
      </c>
      <c r="I13">
        <f t="shared" si="1"/>
        <v>18000</v>
      </c>
    </row>
    <row r="14" spans="1:9" x14ac:dyDescent="0.35">
      <c r="E14" s="2" t="s">
        <v>25</v>
      </c>
      <c r="F14" s="2" t="s">
        <v>9</v>
      </c>
      <c r="G14" t="str">
        <f>VLOOKUP(F14,$A$2:$C17,2,FALSE)</f>
        <v>Standard Health</v>
      </c>
      <c r="H14">
        <f t="shared" si="0"/>
        <v>2800</v>
      </c>
      <c r="I14">
        <f t="shared" si="1"/>
        <v>33600</v>
      </c>
    </row>
    <row r="15" spans="1:9" x14ac:dyDescent="0.35">
      <c r="E15" s="2" t="s">
        <v>26</v>
      </c>
      <c r="F15" s="2" t="s">
        <v>9</v>
      </c>
      <c r="G15" t="str">
        <f>VLOOKUP(F15,$A$2:$C18,2,FALSE)</f>
        <v>Standard Health</v>
      </c>
      <c r="H15">
        <f t="shared" si="0"/>
        <v>2800</v>
      </c>
      <c r="I15">
        <f t="shared" si="1"/>
        <v>33600</v>
      </c>
    </row>
    <row r="16" spans="1:9" x14ac:dyDescent="0.35">
      <c r="E16" s="2" t="s">
        <v>27</v>
      </c>
      <c r="F16" s="2" t="s">
        <v>8</v>
      </c>
      <c r="G16" t="str">
        <f>VLOOKUP(F16,$A$2:$C19,2,FALSE)</f>
        <v>Premium Health</v>
      </c>
      <c r="H16">
        <f t="shared" si="0"/>
        <v>4500</v>
      </c>
      <c r="I16">
        <f t="shared" si="1"/>
        <v>54000</v>
      </c>
    </row>
    <row r="17" spans="5:9" x14ac:dyDescent="0.35">
      <c r="E17" s="2" t="s">
        <v>28</v>
      </c>
      <c r="F17" s="2" t="s">
        <v>8</v>
      </c>
      <c r="G17" t="str">
        <f>VLOOKUP(F17,$A$2:$C20,2,FALSE)</f>
        <v>Premium Health</v>
      </c>
      <c r="H17">
        <f t="shared" si="0"/>
        <v>4500</v>
      </c>
      <c r="I17">
        <f t="shared" si="1"/>
        <v>54000</v>
      </c>
    </row>
    <row r="18" spans="5:9" x14ac:dyDescent="0.35">
      <c r="E18" s="2" t="s">
        <v>29</v>
      </c>
      <c r="F18" s="2" t="s">
        <v>5</v>
      </c>
      <c r="G18" t="str">
        <f>VLOOKUP(F18,$A$2:$C21,2,FALSE)</f>
        <v>Basic Health</v>
      </c>
      <c r="H18">
        <f t="shared" si="0"/>
        <v>1500</v>
      </c>
      <c r="I18">
        <f t="shared" si="1"/>
        <v>18000</v>
      </c>
    </row>
    <row r="19" spans="5:9" x14ac:dyDescent="0.35">
      <c r="E19" s="2" t="s">
        <v>30</v>
      </c>
      <c r="F19" s="2" t="s">
        <v>5</v>
      </c>
      <c r="G19" t="str">
        <f>VLOOKUP(F19,$A$2:$C22,2,FALSE)</f>
        <v>Basic Health</v>
      </c>
      <c r="H19">
        <f t="shared" si="0"/>
        <v>1500</v>
      </c>
      <c r="I19">
        <f t="shared" si="1"/>
        <v>18000</v>
      </c>
    </row>
    <row r="20" spans="5:9" x14ac:dyDescent="0.35">
      <c r="E20" s="2" t="s">
        <v>31</v>
      </c>
      <c r="F20" s="2" t="s">
        <v>8</v>
      </c>
      <c r="G20" t="str">
        <f>VLOOKUP(F20,$A$2:$C23,2,FALSE)</f>
        <v>Premium Health</v>
      </c>
      <c r="H20">
        <f t="shared" si="0"/>
        <v>4500</v>
      </c>
      <c r="I20">
        <f t="shared" si="1"/>
        <v>54000</v>
      </c>
    </row>
    <row r="21" spans="5:9" x14ac:dyDescent="0.35">
      <c r="E21" s="2" t="s">
        <v>32</v>
      </c>
      <c r="F21" s="2" t="s">
        <v>5</v>
      </c>
      <c r="G21" t="str">
        <f>VLOOKUP(F21,$A$2:$C24,2,FALSE)</f>
        <v>Basic Health</v>
      </c>
      <c r="H21">
        <f t="shared" si="0"/>
        <v>1500</v>
      </c>
      <c r="I21">
        <f t="shared" si="1"/>
        <v>18000</v>
      </c>
    </row>
    <row r="22" spans="5:9" x14ac:dyDescent="0.35">
      <c r="E22" s="2" t="s">
        <v>33</v>
      </c>
      <c r="F22" s="2" t="s">
        <v>9</v>
      </c>
      <c r="G22" t="str">
        <f>VLOOKUP(F22,$A$2:$C25,2,FALSE)</f>
        <v>Standard Health</v>
      </c>
      <c r="H22">
        <f t="shared" si="0"/>
        <v>2800</v>
      </c>
      <c r="I22">
        <f t="shared" si="1"/>
        <v>33600</v>
      </c>
    </row>
    <row r="23" spans="5:9" x14ac:dyDescent="0.35">
      <c r="E23" s="2" t="s">
        <v>34</v>
      </c>
      <c r="F23" s="2" t="s">
        <v>5</v>
      </c>
      <c r="G23" t="str">
        <f>VLOOKUP(F23,$A$2:$C26,2,FALSE)</f>
        <v>Basic Health</v>
      </c>
      <c r="H23">
        <f t="shared" si="0"/>
        <v>1500</v>
      </c>
      <c r="I23">
        <f t="shared" si="1"/>
        <v>18000</v>
      </c>
    </row>
    <row r="24" spans="5:9" x14ac:dyDescent="0.35">
      <c r="E24" s="2" t="s">
        <v>35</v>
      </c>
      <c r="F24" s="2" t="s">
        <v>14</v>
      </c>
      <c r="G24" t="str">
        <f>VLOOKUP(F24,$A$2:$C27,2,FALSE)</f>
        <v>Family Cover</v>
      </c>
      <c r="H24">
        <f t="shared" si="0"/>
        <v>6000</v>
      </c>
      <c r="I24">
        <f t="shared" si="1"/>
        <v>72000</v>
      </c>
    </row>
    <row r="25" spans="5:9" x14ac:dyDescent="0.35">
      <c r="E25" s="2" t="s">
        <v>36</v>
      </c>
      <c r="F25" s="2" t="s">
        <v>8</v>
      </c>
      <c r="G25" t="str">
        <f>VLOOKUP(F25,$A$2:$C28,2,FALSE)</f>
        <v>Premium Health</v>
      </c>
      <c r="H25">
        <f t="shared" si="0"/>
        <v>4500</v>
      </c>
      <c r="I25">
        <f t="shared" si="1"/>
        <v>54000</v>
      </c>
    </row>
    <row r="26" spans="5:9" x14ac:dyDescent="0.35">
      <c r="E26" s="2" t="s">
        <v>37</v>
      </c>
      <c r="F26" s="2" t="s">
        <v>14</v>
      </c>
      <c r="G26" t="str">
        <f>VLOOKUP(F26,$A$2:$C29,2,FALSE)</f>
        <v>Family Cover</v>
      </c>
      <c r="H26">
        <f t="shared" si="0"/>
        <v>6000</v>
      </c>
      <c r="I26">
        <f t="shared" si="1"/>
        <v>72000</v>
      </c>
    </row>
    <row r="27" spans="5:9" x14ac:dyDescent="0.35">
      <c r="E27" s="2" t="s">
        <v>38</v>
      </c>
      <c r="F27" s="2" t="s">
        <v>14</v>
      </c>
      <c r="G27" t="str">
        <f>VLOOKUP(F27,$A$2:$C30,2,FALSE)</f>
        <v>Family Cover</v>
      </c>
      <c r="H27">
        <f t="shared" si="0"/>
        <v>6000</v>
      </c>
      <c r="I27">
        <f t="shared" si="1"/>
        <v>72000</v>
      </c>
    </row>
    <row r="28" spans="5:9" x14ac:dyDescent="0.35">
      <c r="E28" s="2" t="s">
        <v>39</v>
      </c>
      <c r="F28" s="2" t="s">
        <v>8</v>
      </c>
      <c r="G28" t="str">
        <f>VLOOKUP(F28,$A$2:$C31,2,FALSE)</f>
        <v>Premium Health</v>
      </c>
      <c r="H28">
        <f t="shared" si="0"/>
        <v>4500</v>
      </c>
      <c r="I28">
        <f t="shared" si="1"/>
        <v>54000</v>
      </c>
    </row>
    <row r="29" spans="5:9" x14ac:dyDescent="0.35">
      <c r="E29" s="2" t="s">
        <v>40</v>
      </c>
      <c r="F29" s="2" t="s">
        <v>8</v>
      </c>
      <c r="G29" t="str">
        <f>VLOOKUP(F29,$A$2:$C32,2,FALSE)</f>
        <v>Premium Health</v>
      </c>
      <c r="H29">
        <f t="shared" si="0"/>
        <v>4500</v>
      </c>
      <c r="I29">
        <f t="shared" si="1"/>
        <v>54000</v>
      </c>
    </row>
    <row r="30" spans="5:9" x14ac:dyDescent="0.35">
      <c r="E30" s="2" t="s">
        <v>41</v>
      </c>
      <c r="F30" s="2" t="s">
        <v>5</v>
      </c>
      <c r="G30" t="str">
        <f>VLOOKUP(F30,$A$2:$C33,2,FALSE)</f>
        <v>Basic Health</v>
      </c>
      <c r="H30">
        <f t="shared" si="0"/>
        <v>1500</v>
      </c>
      <c r="I30">
        <f t="shared" si="1"/>
        <v>18000</v>
      </c>
    </row>
    <row r="31" spans="5:9" x14ac:dyDescent="0.35">
      <c r="E31" s="2" t="s">
        <v>42</v>
      </c>
      <c r="F31" s="2" t="s">
        <v>9</v>
      </c>
      <c r="G31" t="str">
        <f>VLOOKUP(F31,$A$2:$C34,2,FALSE)</f>
        <v>Standard Health</v>
      </c>
      <c r="H31">
        <f t="shared" si="0"/>
        <v>2800</v>
      </c>
      <c r="I31">
        <f t="shared" si="1"/>
        <v>33600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naheedakhtar7952@gmail.com</cp:lastModifiedBy>
  <dcterms:created xsi:type="dcterms:W3CDTF">2026-08-28T11:29:15Z</dcterms:created>
  <dcterms:modified xsi:type="dcterms:W3CDTF">2026-08-28T11:38:13Z</dcterms:modified>
</cp:coreProperties>
</file>