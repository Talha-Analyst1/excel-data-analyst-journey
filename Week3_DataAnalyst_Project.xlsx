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ownloads\"/>
    </mc:Choice>
  </mc:AlternateContent>
  <xr:revisionPtr revIDLastSave="0" documentId="13_ncr:1_{2780FD81-1935-4E86-BBDA-EF75C5B4C3C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ivot table" sheetId="2" r:id="rId1"/>
    <sheet name="Sales Data" sheetId="1" r:id="rId2"/>
  </sheet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2" i="1"/>
</calcChain>
</file>

<file path=xl/sharedStrings.xml><?xml version="1.0" encoding="utf-8"?>
<sst xmlns="http://schemas.openxmlformats.org/spreadsheetml/2006/main" count="74" uniqueCount="18">
  <si>
    <t>Order ID</t>
  </si>
  <si>
    <t>Category</t>
  </si>
  <si>
    <t>Region</t>
  </si>
  <si>
    <t>Revenue</t>
  </si>
  <si>
    <t>Target</t>
  </si>
  <si>
    <t>Electronics</t>
  </si>
  <si>
    <t>North</t>
  </si>
  <si>
    <t>Accessories</t>
  </si>
  <si>
    <t>South</t>
  </si>
  <si>
    <t>East</t>
  </si>
  <si>
    <t>West</t>
  </si>
  <si>
    <t>Row Labels</t>
  </si>
  <si>
    <t>Grand Total</t>
  </si>
  <si>
    <t>Sum of Revenue</t>
  </si>
  <si>
    <t>Sum of Order ID</t>
  </si>
  <si>
    <t>Category wise total revenue and order count</t>
  </si>
  <si>
    <t>Electronics north region Revenue</t>
  </si>
  <si>
    <t>Target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</si>
</sst>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480" refreshedDate="46258.656984837966" createdVersion="8" refreshedVersion="8" minRefreshableVersion="3" recordCount="30" xr:uid="{02CB97C4-2DAA-4171-9BC5-2A4104641422}">
  <cacheSource type="worksheet">
    <worksheetSource ref="A1:E31" sheet="Sales Data"/>
  </cacheSource>
  <cacheFields count="5">
    <cacheField name="Order ID" numFmtId="0">
      <sharedItems containsSemiMixedTypes="0" containsString="0" containsNumber="1" containsInteger="1" minValue="7001" maxValue="7030"/>
    </cacheField>
    <cacheField name="Category" numFmtId="0">
      <sharedItems count="2">
        <s v="Electronics"/>
        <s v="Accessories"/>
      </sharedItems>
    </cacheField>
    <cacheField name="Region" numFmtId="0">
      <sharedItems/>
    </cacheField>
    <cacheField name="Revenue" numFmtId="0">
      <sharedItems containsSemiMixedTypes="0" containsString="0" containsNumber="1" containsInteger="1" minValue="23714" maxValue="198280"/>
    </cacheField>
    <cacheField name="Target" numFmtId="0">
      <sharedItems containsSemiMixedTypes="0" containsString="0" containsNumber="1" containsInteger="1" minValue="80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7001"/>
    <x v="0"/>
    <s v="North"/>
    <n v="127666"/>
    <n v="150000"/>
  </r>
  <r>
    <n v="7002"/>
    <x v="1"/>
    <s v="South"/>
    <n v="57361"/>
    <n v="150000"/>
  </r>
  <r>
    <n v="7003"/>
    <x v="0"/>
    <s v="North"/>
    <n v="153664"/>
    <n v="120000"/>
  </r>
  <r>
    <n v="7004"/>
    <x v="1"/>
    <s v="South"/>
    <n v="122746"/>
    <n v="150000"/>
  </r>
  <r>
    <n v="7005"/>
    <x v="1"/>
    <s v="North"/>
    <n v="23767"/>
    <n v="120000"/>
  </r>
  <r>
    <n v="7006"/>
    <x v="0"/>
    <s v="South"/>
    <n v="152471"/>
    <n v="100000"/>
  </r>
  <r>
    <n v="7007"/>
    <x v="0"/>
    <s v="South"/>
    <n v="133599"/>
    <n v="80000"/>
  </r>
  <r>
    <n v="7008"/>
    <x v="0"/>
    <s v="North"/>
    <n v="36545"/>
    <n v="80000"/>
  </r>
  <r>
    <n v="7009"/>
    <x v="0"/>
    <s v="East"/>
    <n v="71294"/>
    <n v="100000"/>
  </r>
  <r>
    <n v="7010"/>
    <x v="0"/>
    <s v="South"/>
    <n v="198280"/>
    <n v="120000"/>
  </r>
  <r>
    <n v="7011"/>
    <x v="1"/>
    <s v="South"/>
    <n v="158707"/>
    <n v="100000"/>
  </r>
  <r>
    <n v="7012"/>
    <x v="1"/>
    <s v="South"/>
    <n v="104148"/>
    <n v="80000"/>
  </r>
  <r>
    <n v="7013"/>
    <x v="1"/>
    <s v="West"/>
    <n v="119796"/>
    <n v="80000"/>
  </r>
  <r>
    <n v="7014"/>
    <x v="1"/>
    <s v="South"/>
    <n v="39725"/>
    <n v="100000"/>
  </r>
  <r>
    <n v="7015"/>
    <x v="1"/>
    <s v="East"/>
    <n v="26552"/>
    <n v="80000"/>
  </r>
  <r>
    <n v="7016"/>
    <x v="0"/>
    <s v="West"/>
    <n v="182959"/>
    <n v="80000"/>
  </r>
  <r>
    <n v="7017"/>
    <x v="1"/>
    <s v="South"/>
    <n v="85483"/>
    <n v="80000"/>
  </r>
  <r>
    <n v="7018"/>
    <x v="0"/>
    <s v="West"/>
    <n v="135803"/>
    <n v="120000"/>
  </r>
  <r>
    <n v="7019"/>
    <x v="0"/>
    <s v="East"/>
    <n v="48090"/>
    <n v="80000"/>
  </r>
  <r>
    <n v="7020"/>
    <x v="0"/>
    <s v="North"/>
    <n v="182352"/>
    <n v="80000"/>
  </r>
  <r>
    <n v="7021"/>
    <x v="1"/>
    <s v="South"/>
    <n v="25895"/>
    <n v="80000"/>
  </r>
  <r>
    <n v="7022"/>
    <x v="0"/>
    <s v="South"/>
    <n v="87265"/>
    <n v="150000"/>
  </r>
  <r>
    <n v="7023"/>
    <x v="1"/>
    <s v="South"/>
    <n v="89883"/>
    <n v="120000"/>
  </r>
  <r>
    <n v="7024"/>
    <x v="1"/>
    <s v="South"/>
    <n v="23714"/>
    <n v="100000"/>
  </r>
  <r>
    <n v="7025"/>
    <x v="1"/>
    <s v="North"/>
    <n v="185136"/>
    <n v="150000"/>
  </r>
  <r>
    <n v="7026"/>
    <x v="0"/>
    <s v="West"/>
    <n v="64531"/>
    <n v="80000"/>
  </r>
  <r>
    <n v="7027"/>
    <x v="0"/>
    <s v="West"/>
    <n v="168551"/>
    <n v="100000"/>
  </r>
  <r>
    <n v="7028"/>
    <x v="0"/>
    <s v="South"/>
    <n v="173929"/>
    <n v="100000"/>
  </r>
  <r>
    <n v="7029"/>
    <x v="0"/>
    <s v="South"/>
    <n v="155652"/>
    <n v="150000"/>
  </r>
  <r>
    <n v="7030"/>
    <x v="1"/>
    <s v="East"/>
    <n v="165933"/>
    <n v="1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C857A-EFD9-40C2-ACD9-C985E7FD2FB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5">
    <pivotField dataField="1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ID" fld="0" baseField="0" baseItem="0"/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DB13-099F-4BDA-B700-9499DF50C41D}">
  <dimension ref="A3:C8"/>
  <sheetViews>
    <sheetView tabSelected="1" workbookViewId="0">
      <selection activeCell="B18" sqref="B18"/>
    </sheetView>
  </sheetViews>
  <sheetFormatPr defaultRowHeight="14.5" x14ac:dyDescent="0.35"/>
  <cols>
    <col min="1" max="1" width="12.36328125" bestFit="1" customWidth="1"/>
    <col min="2" max="3" width="14.36328125" bestFit="1" customWidth="1"/>
  </cols>
  <sheetData>
    <row r="3" spans="1:3" x14ac:dyDescent="0.35">
      <c r="A3" s="3" t="s">
        <v>11</v>
      </c>
      <c r="B3" t="s">
        <v>14</v>
      </c>
      <c r="C3" t="s">
        <v>13</v>
      </c>
    </row>
    <row r="4" spans="1:3" x14ac:dyDescent="0.35">
      <c r="A4" s="4" t="s">
        <v>7</v>
      </c>
      <c r="B4" s="5">
        <v>98216</v>
      </c>
      <c r="C4" s="5">
        <v>1228846</v>
      </c>
    </row>
    <row r="5" spans="1:3" x14ac:dyDescent="0.35">
      <c r="A5" s="4" t="s">
        <v>5</v>
      </c>
      <c r="B5" s="5">
        <v>112249</v>
      </c>
      <c r="C5" s="5">
        <v>2072651</v>
      </c>
    </row>
    <row r="6" spans="1:3" x14ac:dyDescent="0.35">
      <c r="A6" s="4" t="s">
        <v>12</v>
      </c>
      <c r="B6" s="5">
        <v>210465</v>
      </c>
      <c r="C6" s="5">
        <v>3301497</v>
      </c>
    </row>
    <row r="8" spans="1:3" x14ac:dyDescent="0.35">
      <c r="A8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E4" sqref="E4"/>
    </sheetView>
  </sheetViews>
  <sheetFormatPr defaultRowHeight="14.5" x14ac:dyDescent="0.35"/>
  <cols>
    <col min="1" max="1" width="12" customWidth="1"/>
    <col min="2" max="2" width="14" customWidth="1"/>
    <col min="3" max="5" width="12" customWidth="1"/>
    <col min="6" max="6" width="32.26953125" bestFit="1" customWidth="1"/>
    <col min="7" max="7" width="13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16</v>
      </c>
      <c r="G1" s="7" t="s">
        <v>17</v>
      </c>
    </row>
    <row r="2" spans="1:7" x14ac:dyDescent="0.35">
      <c r="A2" s="2">
        <v>7001</v>
      </c>
      <c r="B2" s="2" t="s">
        <v>5</v>
      </c>
      <c r="C2" s="2" t="s">
        <v>6</v>
      </c>
      <c r="D2" s="2">
        <v>127666</v>
      </c>
      <c r="E2" s="2">
        <v>150000</v>
      </c>
      <c r="F2" s="8">
        <f>SUMIFS(D2:D31,B2:B31,"Electronics",C2:C31,"North")</f>
        <v>500227</v>
      </c>
      <c r="G2" s="8" t="str">
        <f>IF(D2&gt;=E2,"Achived","Not Achived")</f>
        <v>Not Achived</v>
      </c>
    </row>
    <row r="3" spans="1:7" x14ac:dyDescent="0.35">
      <c r="A3" s="2">
        <v>7002</v>
      </c>
      <c r="B3" s="2" t="s">
        <v>7</v>
      </c>
      <c r="C3" s="2" t="s">
        <v>8</v>
      </c>
      <c r="D3" s="2">
        <v>57361</v>
      </c>
      <c r="E3" s="2">
        <v>150000</v>
      </c>
      <c r="G3" s="8" t="str">
        <f t="shared" ref="G3:G31" si="0">IF(D3&gt;=E3,"Achived","Not Achived")</f>
        <v>Not Achived</v>
      </c>
    </row>
    <row r="4" spans="1:7" x14ac:dyDescent="0.35">
      <c r="A4" s="2">
        <v>7003</v>
      </c>
      <c r="B4" s="2" t="s">
        <v>5</v>
      </c>
      <c r="C4" s="2" t="s">
        <v>6</v>
      </c>
      <c r="D4" s="2">
        <v>153664</v>
      </c>
      <c r="E4" s="2">
        <v>120000</v>
      </c>
      <c r="G4" s="8" t="str">
        <f t="shared" si="0"/>
        <v>Achived</v>
      </c>
    </row>
    <row r="5" spans="1:7" x14ac:dyDescent="0.35">
      <c r="A5" s="2">
        <v>7004</v>
      </c>
      <c r="B5" s="2" t="s">
        <v>7</v>
      </c>
      <c r="C5" s="2" t="s">
        <v>8</v>
      </c>
      <c r="D5" s="2">
        <v>122746</v>
      </c>
      <c r="E5" s="2">
        <v>150000</v>
      </c>
      <c r="G5" s="8" t="str">
        <f t="shared" si="0"/>
        <v>Not Achived</v>
      </c>
    </row>
    <row r="6" spans="1:7" x14ac:dyDescent="0.35">
      <c r="A6" s="2">
        <v>7005</v>
      </c>
      <c r="B6" s="2" t="s">
        <v>7</v>
      </c>
      <c r="C6" s="2" t="s">
        <v>6</v>
      </c>
      <c r="D6" s="2">
        <v>23767</v>
      </c>
      <c r="E6" s="2">
        <v>120000</v>
      </c>
      <c r="G6" s="8" t="str">
        <f t="shared" si="0"/>
        <v>Not Achived</v>
      </c>
    </row>
    <row r="7" spans="1:7" x14ac:dyDescent="0.35">
      <c r="A7" s="2">
        <v>7006</v>
      </c>
      <c r="B7" s="2" t="s">
        <v>5</v>
      </c>
      <c r="C7" s="2" t="s">
        <v>8</v>
      </c>
      <c r="D7" s="2">
        <v>152471</v>
      </c>
      <c r="E7" s="2">
        <v>100000</v>
      </c>
      <c r="G7" s="8" t="str">
        <f t="shared" si="0"/>
        <v>Achived</v>
      </c>
    </row>
    <row r="8" spans="1:7" x14ac:dyDescent="0.35">
      <c r="A8" s="2">
        <v>7007</v>
      </c>
      <c r="B8" s="2" t="s">
        <v>5</v>
      </c>
      <c r="C8" s="2" t="s">
        <v>8</v>
      </c>
      <c r="D8" s="2">
        <v>133599</v>
      </c>
      <c r="E8" s="2">
        <v>80000</v>
      </c>
      <c r="G8" s="8" t="str">
        <f t="shared" si="0"/>
        <v>Achived</v>
      </c>
    </row>
    <row r="9" spans="1:7" x14ac:dyDescent="0.35">
      <c r="A9" s="2">
        <v>7008</v>
      </c>
      <c r="B9" s="2" t="s">
        <v>5</v>
      </c>
      <c r="C9" s="2" t="s">
        <v>6</v>
      </c>
      <c r="D9" s="2">
        <v>36545</v>
      </c>
      <c r="E9" s="2">
        <v>80000</v>
      </c>
      <c r="G9" s="8" t="str">
        <f t="shared" si="0"/>
        <v>Not Achived</v>
      </c>
    </row>
    <row r="10" spans="1:7" x14ac:dyDescent="0.35">
      <c r="A10" s="2">
        <v>7009</v>
      </c>
      <c r="B10" s="2" t="s">
        <v>5</v>
      </c>
      <c r="C10" s="2" t="s">
        <v>9</v>
      </c>
      <c r="D10" s="2">
        <v>71294</v>
      </c>
      <c r="E10" s="2">
        <v>100000</v>
      </c>
      <c r="G10" s="8" t="str">
        <f t="shared" si="0"/>
        <v>Not Achived</v>
      </c>
    </row>
    <row r="11" spans="1:7" x14ac:dyDescent="0.35">
      <c r="A11" s="2">
        <v>7010</v>
      </c>
      <c r="B11" s="2" t="s">
        <v>5</v>
      </c>
      <c r="C11" s="2" t="s">
        <v>8</v>
      </c>
      <c r="D11" s="2">
        <v>198280</v>
      </c>
      <c r="E11" s="2">
        <v>120000</v>
      </c>
      <c r="G11" s="8" t="str">
        <f t="shared" si="0"/>
        <v>Achived</v>
      </c>
    </row>
    <row r="12" spans="1:7" x14ac:dyDescent="0.35">
      <c r="A12" s="2">
        <v>7011</v>
      </c>
      <c r="B12" s="2" t="s">
        <v>7</v>
      </c>
      <c r="C12" s="2" t="s">
        <v>8</v>
      </c>
      <c r="D12" s="2">
        <v>158707</v>
      </c>
      <c r="E12" s="2">
        <v>100000</v>
      </c>
      <c r="G12" s="8" t="str">
        <f t="shared" si="0"/>
        <v>Achived</v>
      </c>
    </row>
    <row r="13" spans="1:7" x14ac:dyDescent="0.35">
      <c r="A13" s="2">
        <v>7012</v>
      </c>
      <c r="B13" s="2" t="s">
        <v>7</v>
      </c>
      <c r="C13" s="2" t="s">
        <v>8</v>
      </c>
      <c r="D13" s="2">
        <v>104148</v>
      </c>
      <c r="E13" s="2">
        <v>80000</v>
      </c>
      <c r="G13" s="8" t="str">
        <f t="shared" si="0"/>
        <v>Achived</v>
      </c>
    </row>
    <row r="14" spans="1:7" x14ac:dyDescent="0.35">
      <c r="A14" s="2">
        <v>7013</v>
      </c>
      <c r="B14" s="2" t="s">
        <v>7</v>
      </c>
      <c r="C14" s="2" t="s">
        <v>10</v>
      </c>
      <c r="D14" s="2">
        <v>119796</v>
      </c>
      <c r="E14" s="2">
        <v>80000</v>
      </c>
      <c r="G14" s="8" t="str">
        <f t="shared" si="0"/>
        <v>Achived</v>
      </c>
    </row>
    <row r="15" spans="1:7" x14ac:dyDescent="0.35">
      <c r="A15" s="2">
        <v>7014</v>
      </c>
      <c r="B15" s="2" t="s">
        <v>7</v>
      </c>
      <c r="C15" s="2" t="s">
        <v>8</v>
      </c>
      <c r="D15" s="2">
        <v>39725</v>
      </c>
      <c r="E15" s="2">
        <v>100000</v>
      </c>
      <c r="G15" s="8" t="str">
        <f t="shared" si="0"/>
        <v>Not Achived</v>
      </c>
    </row>
    <row r="16" spans="1:7" x14ac:dyDescent="0.35">
      <c r="A16" s="2">
        <v>7015</v>
      </c>
      <c r="B16" s="2" t="s">
        <v>7</v>
      </c>
      <c r="C16" s="2" t="s">
        <v>9</v>
      </c>
      <c r="D16" s="2">
        <v>26552</v>
      </c>
      <c r="E16" s="2">
        <v>80000</v>
      </c>
      <c r="G16" s="8" t="str">
        <f t="shared" si="0"/>
        <v>Not Achived</v>
      </c>
    </row>
    <row r="17" spans="1:7" x14ac:dyDescent="0.35">
      <c r="A17" s="2">
        <v>7016</v>
      </c>
      <c r="B17" s="2" t="s">
        <v>5</v>
      </c>
      <c r="C17" s="2" t="s">
        <v>10</v>
      </c>
      <c r="D17" s="2">
        <v>182959</v>
      </c>
      <c r="E17" s="2">
        <v>80000</v>
      </c>
      <c r="G17" s="8" t="str">
        <f t="shared" si="0"/>
        <v>Achived</v>
      </c>
    </row>
    <row r="18" spans="1:7" x14ac:dyDescent="0.35">
      <c r="A18" s="2">
        <v>7017</v>
      </c>
      <c r="B18" s="2" t="s">
        <v>7</v>
      </c>
      <c r="C18" s="2" t="s">
        <v>8</v>
      </c>
      <c r="D18" s="2">
        <v>85483</v>
      </c>
      <c r="E18" s="2">
        <v>80000</v>
      </c>
      <c r="G18" s="8" t="str">
        <f t="shared" si="0"/>
        <v>Achived</v>
      </c>
    </row>
    <row r="19" spans="1:7" x14ac:dyDescent="0.35">
      <c r="A19" s="2">
        <v>7018</v>
      </c>
      <c r="B19" s="2" t="s">
        <v>5</v>
      </c>
      <c r="C19" s="2" t="s">
        <v>10</v>
      </c>
      <c r="D19" s="2">
        <v>135803</v>
      </c>
      <c r="E19" s="2">
        <v>120000</v>
      </c>
      <c r="G19" s="8" t="str">
        <f t="shared" si="0"/>
        <v>Achived</v>
      </c>
    </row>
    <row r="20" spans="1:7" x14ac:dyDescent="0.35">
      <c r="A20" s="2">
        <v>7019</v>
      </c>
      <c r="B20" s="2" t="s">
        <v>5</v>
      </c>
      <c r="C20" s="2" t="s">
        <v>9</v>
      </c>
      <c r="D20" s="2">
        <v>48090</v>
      </c>
      <c r="E20" s="2">
        <v>80000</v>
      </c>
      <c r="G20" s="8" t="str">
        <f t="shared" si="0"/>
        <v>Not Achived</v>
      </c>
    </row>
    <row r="21" spans="1:7" x14ac:dyDescent="0.35">
      <c r="A21" s="2">
        <v>7020</v>
      </c>
      <c r="B21" s="2" t="s">
        <v>5</v>
      </c>
      <c r="C21" s="2" t="s">
        <v>6</v>
      </c>
      <c r="D21" s="2">
        <v>182352</v>
      </c>
      <c r="E21" s="2">
        <v>80000</v>
      </c>
      <c r="G21" s="8" t="str">
        <f t="shared" si="0"/>
        <v>Achived</v>
      </c>
    </row>
    <row r="22" spans="1:7" x14ac:dyDescent="0.35">
      <c r="A22" s="2">
        <v>7021</v>
      </c>
      <c r="B22" s="2" t="s">
        <v>7</v>
      </c>
      <c r="C22" s="2" t="s">
        <v>8</v>
      </c>
      <c r="D22" s="2">
        <v>25895</v>
      </c>
      <c r="E22" s="2">
        <v>80000</v>
      </c>
      <c r="G22" s="8" t="str">
        <f t="shared" si="0"/>
        <v>Not Achived</v>
      </c>
    </row>
    <row r="23" spans="1:7" x14ac:dyDescent="0.35">
      <c r="A23" s="2">
        <v>7022</v>
      </c>
      <c r="B23" s="2" t="s">
        <v>5</v>
      </c>
      <c r="C23" s="2" t="s">
        <v>8</v>
      </c>
      <c r="D23" s="2">
        <v>87265</v>
      </c>
      <c r="E23" s="2">
        <v>150000</v>
      </c>
      <c r="G23" s="8" t="str">
        <f t="shared" si="0"/>
        <v>Not Achived</v>
      </c>
    </row>
    <row r="24" spans="1:7" x14ac:dyDescent="0.35">
      <c r="A24" s="2">
        <v>7023</v>
      </c>
      <c r="B24" s="2" t="s">
        <v>7</v>
      </c>
      <c r="C24" s="2" t="s">
        <v>8</v>
      </c>
      <c r="D24" s="2">
        <v>89883</v>
      </c>
      <c r="E24" s="2">
        <v>120000</v>
      </c>
      <c r="G24" s="8" t="str">
        <f t="shared" si="0"/>
        <v>Not Achived</v>
      </c>
    </row>
    <row r="25" spans="1:7" x14ac:dyDescent="0.35">
      <c r="A25" s="2">
        <v>7024</v>
      </c>
      <c r="B25" s="2" t="s">
        <v>7</v>
      </c>
      <c r="C25" s="2" t="s">
        <v>8</v>
      </c>
      <c r="D25" s="2">
        <v>23714</v>
      </c>
      <c r="E25" s="2">
        <v>100000</v>
      </c>
      <c r="G25" s="8" t="str">
        <f t="shared" si="0"/>
        <v>Not Achived</v>
      </c>
    </row>
    <row r="26" spans="1:7" x14ac:dyDescent="0.35">
      <c r="A26" s="2">
        <v>7025</v>
      </c>
      <c r="B26" s="2" t="s">
        <v>7</v>
      </c>
      <c r="C26" s="2" t="s">
        <v>6</v>
      </c>
      <c r="D26" s="2">
        <v>185136</v>
      </c>
      <c r="E26" s="2">
        <v>150000</v>
      </c>
      <c r="G26" s="8" t="str">
        <f t="shared" si="0"/>
        <v>Achived</v>
      </c>
    </row>
    <row r="27" spans="1:7" x14ac:dyDescent="0.35">
      <c r="A27" s="2">
        <v>7026</v>
      </c>
      <c r="B27" s="2" t="s">
        <v>5</v>
      </c>
      <c r="C27" s="2" t="s">
        <v>10</v>
      </c>
      <c r="D27" s="2">
        <v>64531</v>
      </c>
      <c r="E27" s="2">
        <v>80000</v>
      </c>
      <c r="G27" s="8" t="str">
        <f t="shared" si="0"/>
        <v>Not Achived</v>
      </c>
    </row>
    <row r="28" spans="1:7" x14ac:dyDescent="0.35">
      <c r="A28" s="2">
        <v>7027</v>
      </c>
      <c r="B28" s="2" t="s">
        <v>5</v>
      </c>
      <c r="C28" s="2" t="s">
        <v>10</v>
      </c>
      <c r="D28" s="2">
        <v>168551</v>
      </c>
      <c r="E28" s="2">
        <v>100000</v>
      </c>
      <c r="G28" s="8" t="str">
        <f t="shared" si="0"/>
        <v>Achived</v>
      </c>
    </row>
    <row r="29" spans="1:7" x14ac:dyDescent="0.35">
      <c r="A29" s="2">
        <v>7028</v>
      </c>
      <c r="B29" s="2" t="s">
        <v>5</v>
      </c>
      <c r="C29" s="2" t="s">
        <v>8</v>
      </c>
      <c r="D29" s="2">
        <v>173929</v>
      </c>
      <c r="E29" s="2">
        <v>100000</v>
      </c>
      <c r="G29" s="8" t="str">
        <f t="shared" si="0"/>
        <v>Achived</v>
      </c>
    </row>
    <row r="30" spans="1:7" x14ac:dyDescent="0.35">
      <c r="A30" s="2">
        <v>7029</v>
      </c>
      <c r="B30" s="2" t="s">
        <v>5</v>
      </c>
      <c r="C30" s="2" t="s">
        <v>8</v>
      </c>
      <c r="D30" s="2">
        <v>155652</v>
      </c>
      <c r="E30" s="2">
        <v>150000</v>
      </c>
      <c r="G30" s="8" t="str">
        <f t="shared" si="0"/>
        <v>Achived</v>
      </c>
    </row>
    <row r="31" spans="1:7" x14ac:dyDescent="0.35">
      <c r="A31" s="2">
        <v>7030</v>
      </c>
      <c r="B31" s="2" t="s">
        <v>7</v>
      </c>
      <c r="C31" s="2" t="s">
        <v>9</v>
      </c>
      <c r="D31" s="2">
        <v>165933</v>
      </c>
      <c r="E31" s="2">
        <v>150000</v>
      </c>
      <c r="G31" s="8" t="str">
        <f t="shared" si="0"/>
        <v>Achived</v>
      </c>
    </row>
  </sheetData>
  <conditionalFormatting sqref="D2:D31">
    <cfRule type="expression" dxfId="4" priority="4">
      <formula>"d2&lt;e2"</formula>
    </cfRule>
    <cfRule type="expression" dxfId="5" priority="3">
      <formula>"d2&lt;e2"</formula>
    </cfRule>
    <cfRule type="expression" dxfId="6" priority="2">
      <formula>"d2&lt;e2"</formula>
    </cfRule>
    <cfRule type="expression" dxfId="3" priority="1">
      <formula>D2&lt;E2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2026-08-24T09:07:23Z</dcterms:created>
  <dcterms:modified xsi:type="dcterms:W3CDTF">2026-08-24T10:58:21Z</dcterms:modified>
</cp:coreProperties>
</file>