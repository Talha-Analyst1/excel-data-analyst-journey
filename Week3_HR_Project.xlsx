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ownloads\"/>
    </mc:Choice>
  </mc:AlternateContent>
  <xr:revisionPtr revIDLastSave="0" documentId="13_ncr:1_{523C9CC0-8769-4EDD-AFBF-E29D01A0E34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2" r:id="rId1"/>
    <sheet name="Employee Data" sheetId="1" r:id="rId2"/>
  </sheets>
  <calcPr calcId="191029"/>
  <pivotCaches>
    <pivotCache cacheId="3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H2" i="1"/>
  <c r="G2" i="1"/>
</calcChain>
</file>

<file path=xl/sharedStrings.xml><?xml version="1.0" encoding="utf-8"?>
<sst xmlns="http://schemas.openxmlformats.org/spreadsheetml/2006/main" count="116" uniqueCount="49">
  <si>
    <t>Employee</t>
  </si>
  <si>
    <t>Department</t>
  </si>
  <si>
    <t>City</t>
  </si>
  <si>
    <t>Salary</t>
  </si>
  <si>
    <t>Attendance %</t>
  </si>
  <si>
    <t>Status</t>
  </si>
  <si>
    <t>Ali Raza</t>
  </si>
  <si>
    <t>HR</t>
  </si>
  <si>
    <t>Islamabad</t>
  </si>
  <si>
    <t>Active</t>
  </si>
  <si>
    <t>Sara Khan</t>
  </si>
  <si>
    <t>IT</t>
  </si>
  <si>
    <t>Karachi</t>
  </si>
  <si>
    <t>Ahmed Iqbal</t>
  </si>
  <si>
    <t>Fatima Noor</t>
  </si>
  <si>
    <t>Finance</t>
  </si>
  <si>
    <t>Bilal Ahmed</t>
  </si>
  <si>
    <t>Lahore</t>
  </si>
  <si>
    <t>Ayesha Malik</t>
  </si>
  <si>
    <t>Usman Tariq</t>
  </si>
  <si>
    <t>Hina Shahid</t>
  </si>
  <si>
    <t>Zain Abbas</t>
  </si>
  <si>
    <t>Mahnoor Fahad</t>
  </si>
  <si>
    <t>Kamran Sheikh</t>
  </si>
  <si>
    <t>Nida Yousaf</t>
  </si>
  <si>
    <t>Marketing</t>
  </si>
  <si>
    <t>Adeel Rasheed</t>
  </si>
  <si>
    <t>Mariam Farooq</t>
  </si>
  <si>
    <t>Waqas Ali</t>
  </si>
  <si>
    <t>Resigned</t>
  </si>
  <si>
    <t>Rabia Hussain</t>
  </si>
  <si>
    <t>Faizan Sheikh</t>
  </si>
  <si>
    <t>Sadia Iqbal</t>
  </si>
  <si>
    <t>Junaid Akhtar</t>
  </si>
  <si>
    <t>Noor ul Ain</t>
  </si>
  <si>
    <t>Hassan Raza</t>
  </si>
  <si>
    <t>Komal Zafar</t>
  </si>
  <si>
    <t>Shahzaib Khan</t>
  </si>
  <si>
    <t>Iqra Batool</t>
  </si>
  <si>
    <t>Row Labels</t>
  </si>
  <si>
    <t>Grand Total</t>
  </si>
  <si>
    <t>Count of Employee</t>
  </si>
  <si>
    <t>Sum of Salary</t>
  </si>
  <si>
    <t>Total Salary of lahore(IT dep)</t>
  </si>
  <si>
    <t>Total employee resigned in karachi</t>
  </si>
  <si>
    <t xml:space="preserve">This task is dep wise , find headcount and total salary </t>
  </si>
  <si>
    <t>find the IT dep lahore total salary</t>
  </si>
  <si>
    <t>how many employees resigned in karachi</t>
  </si>
  <si>
    <t>Salary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</si>
</sst>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480" refreshedDate="46258.639314467589" createdVersion="8" refreshedVersion="8" minRefreshableVersion="3" recordCount="24" xr:uid="{397B4F6F-034C-4786-BFED-16DB57FCD2AA}">
  <cacheSource type="worksheet">
    <worksheetSource ref="A1:F25" sheet="Employee Data"/>
  </cacheSource>
  <cacheFields count="6">
    <cacheField name="Employee" numFmtId="0">
      <sharedItems/>
    </cacheField>
    <cacheField name="Department" numFmtId="0">
      <sharedItems count="4">
        <s v="HR"/>
        <s v="IT"/>
        <s v="Finance"/>
        <s v="Marketing"/>
      </sharedItems>
    </cacheField>
    <cacheField name="City" numFmtId="0">
      <sharedItems/>
    </cacheField>
    <cacheField name="Salary" numFmtId="0">
      <sharedItems containsSemiMixedTypes="0" containsString="0" containsNumber="1" containsInteger="1" minValue="36115" maxValue="88094"/>
    </cacheField>
    <cacheField name="Attendance %" numFmtId="0">
      <sharedItems containsSemiMixedTypes="0" containsString="0" containsNumber="1" containsInteger="1" minValue="67" maxValue="1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Ali Raza"/>
    <x v="0"/>
    <s v="Islamabad"/>
    <n v="61046"/>
    <n v="78"/>
    <s v="Active"/>
  </r>
  <r>
    <s v="Sara Khan"/>
    <x v="1"/>
    <s v="Karachi"/>
    <n v="79142"/>
    <n v="91"/>
    <s v="Active"/>
  </r>
  <r>
    <s v="Ahmed Iqbal"/>
    <x v="0"/>
    <s v="Karachi"/>
    <n v="75631"/>
    <n v="92"/>
    <s v="Active"/>
  </r>
  <r>
    <s v="Fatima Noor"/>
    <x v="2"/>
    <s v="Islamabad"/>
    <n v="75000"/>
    <n v="89"/>
    <s v="Active"/>
  </r>
  <r>
    <s v="Bilal Ahmed"/>
    <x v="0"/>
    <s v="Lahore"/>
    <n v="69564"/>
    <n v="67"/>
    <s v="Active"/>
  </r>
  <r>
    <s v="Ayesha Malik"/>
    <x v="2"/>
    <s v="Islamabad"/>
    <n v="74607"/>
    <n v="88"/>
    <s v="Active"/>
  </r>
  <r>
    <s v="Usman Tariq"/>
    <x v="2"/>
    <s v="Islamabad"/>
    <n v="52498"/>
    <n v="77"/>
    <s v="Active"/>
  </r>
  <r>
    <s v="Hina Shahid"/>
    <x v="0"/>
    <s v="Lahore"/>
    <n v="37830"/>
    <n v="83"/>
    <s v="Active"/>
  </r>
  <r>
    <s v="Zain Abbas"/>
    <x v="1"/>
    <s v="Karachi"/>
    <n v="36115"/>
    <n v="79"/>
    <s v="Active"/>
  </r>
  <r>
    <s v="Mahnoor Fahad"/>
    <x v="0"/>
    <s v="Lahore"/>
    <n v="88094"/>
    <n v="73"/>
    <s v="Active"/>
  </r>
  <r>
    <s v="Kamran Sheikh"/>
    <x v="2"/>
    <s v="Karachi"/>
    <n v="48145"/>
    <n v="81"/>
    <s v="Active"/>
  </r>
  <r>
    <s v="Nida Yousaf"/>
    <x v="3"/>
    <s v="Lahore"/>
    <n v="52511"/>
    <n v="83"/>
    <s v="Active"/>
  </r>
  <r>
    <s v="Adeel Rasheed"/>
    <x v="1"/>
    <s v="Karachi"/>
    <n v="52779"/>
    <n v="81"/>
    <s v="Active"/>
  </r>
  <r>
    <s v="Mariam Farooq"/>
    <x v="2"/>
    <s v="Karachi"/>
    <n v="73443"/>
    <n v="96"/>
    <s v="Active"/>
  </r>
  <r>
    <s v="Waqas Ali"/>
    <x v="0"/>
    <s v="Islamabad"/>
    <n v="45138"/>
    <n v="100"/>
    <s v="Resigned"/>
  </r>
  <r>
    <s v="Rabia Hussain"/>
    <x v="2"/>
    <s v="Lahore"/>
    <n v="69273"/>
    <n v="91"/>
    <s v="Active"/>
  </r>
  <r>
    <s v="Faizan Sheikh"/>
    <x v="0"/>
    <s v="Karachi"/>
    <n v="84986"/>
    <n v="95"/>
    <s v="Active"/>
  </r>
  <r>
    <s v="Sadia Iqbal"/>
    <x v="2"/>
    <s v="Karachi"/>
    <n v="79700"/>
    <n v="79"/>
    <s v="Active"/>
  </r>
  <r>
    <s v="Junaid Akhtar"/>
    <x v="1"/>
    <s v="Lahore"/>
    <n v="65737"/>
    <n v="87"/>
    <s v="Resigned"/>
  </r>
  <r>
    <s v="Noor ul Ain"/>
    <x v="2"/>
    <s v="Islamabad"/>
    <n v="63969"/>
    <n v="92"/>
    <s v="Active"/>
  </r>
  <r>
    <s v="Hassan Raza"/>
    <x v="3"/>
    <s v="Islamabad"/>
    <n v="44079"/>
    <n v="71"/>
    <s v="Active"/>
  </r>
  <r>
    <s v="Komal Zafar"/>
    <x v="2"/>
    <s v="Islamabad"/>
    <n v="36593"/>
    <n v="83"/>
    <s v="Active"/>
  </r>
  <r>
    <s v="Shahzaib Khan"/>
    <x v="3"/>
    <s v="Islamabad"/>
    <n v="83260"/>
    <n v="74"/>
    <s v="Active"/>
  </r>
  <r>
    <s v="Iqra Batool"/>
    <x v="3"/>
    <s v="Lahore"/>
    <n v="84792"/>
    <n v="88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AC311-4936-479A-82F7-14CA65C4943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6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" fld="0" subtotal="count" baseField="0" baseItem="0"/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924D-AEE4-4952-806A-69643B57752F}">
  <dimension ref="A3:C10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6.81640625" bestFit="1" customWidth="1"/>
    <col min="3" max="3" width="12.08984375" bestFit="1" customWidth="1"/>
  </cols>
  <sheetData>
    <row r="3" spans="1:3" x14ac:dyDescent="0.35">
      <c r="A3" s="3" t="s">
        <v>39</v>
      </c>
      <c r="B3" t="s">
        <v>41</v>
      </c>
      <c r="C3" t="s">
        <v>42</v>
      </c>
    </row>
    <row r="4" spans="1:3" x14ac:dyDescent="0.35">
      <c r="A4" s="4" t="s">
        <v>15</v>
      </c>
      <c r="B4" s="5">
        <v>9</v>
      </c>
      <c r="C4" s="5">
        <v>573228</v>
      </c>
    </row>
    <row r="5" spans="1:3" x14ac:dyDescent="0.35">
      <c r="A5" s="4" t="s">
        <v>7</v>
      </c>
      <c r="B5" s="5">
        <v>7</v>
      </c>
      <c r="C5" s="5">
        <v>462289</v>
      </c>
    </row>
    <row r="6" spans="1:3" x14ac:dyDescent="0.35">
      <c r="A6" s="4" t="s">
        <v>11</v>
      </c>
      <c r="B6" s="5">
        <v>4</v>
      </c>
      <c r="C6" s="5">
        <v>233773</v>
      </c>
    </row>
    <row r="7" spans="1:3" x14ac:dyDescent="0.35">
      <c r="A7" s="4" t="s">
        <v>25</v>
      </c>
      <c r="B7" s="5">
        <v>4</v>
      </c>
      <c r="C7" s="5">
        <v>264642</v>
      </c>
    </row>
    <row r="8" spans="1:3" x14ac:dyDescent="0.35">
      <c r="A8" s="4" t="s">
        <v>40</v>
      </c>
      <c r="B8" s="5">
        <v>24</v>
      </c>
      <c r="C8" s="5">
        <v>1533932</v>
      </c>
    </row>
    <row r="10" spans="1:3" x14ac:dyDescent="0.35">
      <c r="A10" s="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C1" workbookViewId="0">
      <selection activeCell="G4" sqref="G4"/>
    </sheetView>
  </sheetViews>
  <sheetFormatPr defaultRowHeight="14.5" x14ac:dyDescent="0.35"/>
  <cols>
    <col min="1" max="1" width="16" customWidth="1"/>
    <col min="2" max="3" width="14" customWidth="1"/>
    <col min="4" max="4" width="12" customWidth="1"/>
    <col min="5" max="5" width="14" customWidth="1"/>
    <col min="6" max="6" width="12" customWidth="1"/>
    <col min="7" max="7" width="31.36328125" bestFit="1" customWidth="1"/>
    <col min="8" max="8" width="51.453125" customWidth="1"/>
    <col min="9" max="9" width="13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43</v>
      </c>
      <c r="H1" s="1" t="s">
        <v>44</v>
      </c>
      <c r="I1" s="8" t="s">
        <v>48</v>
      </c>
    </row>
    <row r="2" spans="1:9" x14ac:dyDescent="0.35">
      <c r="A2" s="2" t="s">
        <v>6</v>
      </c>
      <c r="B2" s="2" t="s">
        <v>7</v>
      </c>
      <c r="C2" s="2" t="s">
        <v>8</v>
      </c>
      <c r="D2" s="2">
        <v>61046</v>
      </c>
      <c r="E2" s="2">
        <v>78</v>
      </c>
      <c r="F2" s="2" t="s">
        <v>9</v>
      </c>
      <c r="G2">
        <f>SUMIFS(D2:D25,B2:B25,"IT",C2:C25,"Lahore")</f>
        <v>65737</v>
      </c>
      <c r="H2">
        <f>COUNTIFS(F2:F25,"Resigned",C2:C25,"Karachi")</f>
        <v>0</v>
      </c>
      <c r="I2" t="str">
        <f>IF(D2&gt;=70000,"High",IF(D2&gt;=50000,"Medium","Low"))</f>
        <v>Medium</v>
      </c>
    </row>
    <row r="3" spans="1:9" x14ac:dyDescent="0.35">
      <c r="A3" s="2" t="s">
        <v>10</v>
      </c>
      <c r="B3" s="2" t="s">
        <v>11</v>
      </c>
      <c r="C3" s="2" t="s">
        <v>12</v>
      </c>
      <c r="D3" s="2">
        <v>79142</v>
      </c>
      <c r="E3" s="2">
        <v>91</v>
      </c>
      <c r="F3" s="2" t="s">
        <v>9</v>
      </c>
      <c r="G3" s="6" t="s">
        <v>46</v>
      </c>
      <c r="H3" s="7" t="s">
        <v>47</v>
      </c>
      <c r="I3" t="str">
        <f t="shared" ref="I3:I25" si="0">IF(D3&gt;=70000,"High",IF(D3&gt;=50000,"Medium","Low"))</f>
        <v>High</v>
      </c>
    </row>
    <row r="4" spans="1:9" x14ac:dyDescent="0.35">
      <c r="A4" s="2" t="s">
        <v>13</v>
      </c>
      <c r="B4" s="2" t="s">
        <v>7</v>
      </c>
      <c r="C4" s="2" t="s">
        <v>12</v>
      </c>
      <c r="D4" s="2">
        <v>75631</v>
      </c>
      <c r="E4" s="2">
        <v>92</v>
      </c>
      <c r="F4" s="2" t="s">
        <v>9</v>
      </c>
      <c r="I4" t="str">
        <f t="shared" si="0"/>
        <v>High</v>
      </c>
    </row>
    <row r="5" spans="1:9" x14ac:dyDescent="0.35">
      <c r="A5" s="2" t="s">
        <v>14</v>
      </c>
      <c r="B5" s="2" t="s">
        <v>15</v>
      </c>
      <c r="C5" s="2" t="s">
        <v>8</v>
      </c>
      <c r="D5" s="2">
        <v>75000</v>
      </c>
      <c r="E5" s="2">
        <v>89</v>
      </c>
      <c r="F5" s="2" t="s">
        <v>9</v>
      </c>
      <c r="I5" t="str">
        <f t="shared" si="0"/>
        <v>High</v>
      </c>
    </row>
    <row r="6" spans="1:9" x14ac:dyDescent="0.35">
      <c r="A6" s="2" t="s">
        <v>16</v>
      </c>
      <c r="B6" s="2" t="s">
        <v>7</v>
      </c>
      <c r="C6" s="2" t="s">
        <v>17</v>
      </c>
      <c r="D6" s="2">
        <v>69564</v>
      </c>
      <c r="E6" s="2">
        <v>67</v>
      </c>
      <c r="F6" s="2" t="s">
        <v>9</v>
      </c>
      <c r="I6" t="str">
        <f t="shared" si="0"/>
        <v>Medium</v>
      </c>
    </row>
    <row r="7" spans="1:9" x14ac:dyDescent="0.35">
      <c r="A7" s="2" t="s">
        <v>18</v>
      </c>
      <c r="B7" s="2" t="s">
        <v>15</v>
      </c>
      <c r="C7" s="2" t="s">
        <v>8</v>
      </c>
      <c r="D7" s="2">
        <v>74607</v>
      </c>
      <c r="E7" s="2">
        <v>88</v>
      </c>
      <c r="F7" s="2" t="s">
        <v>9</v>
      </c>
      <c r="I7" t="str">
        <f t="shared" si="0"/>
        <v>High</v>
      </c>
    </row>
    <row r="8" spans="1:9" x14ac:dyDescent="0.35">
      <c r="A8" s="2" t="s">
        <v>19</v>
      </c>
      <c r="B8" s="2" t="s">
        <v>15</v>
      </c>
      <c r="C8" s="2" t="s">
        <v>8</v>
      </c>
      <c r="D8" s="2">
        <v>52498</v>
      </c>
      <c r="E8" s="2">
        <v>77</v>
      </c>
      <c r="F8" s="2" t="s">
        <v>9</v>
      </c>
      <c r="I8" t="str">
        <f t="shared" si="0"/>
        <v>Medium</v>
      </c>
    </row>
    <row r="9" spans="1:9" x14ac:dyDescent="0.35">
      <c r="A9" s="2" t="s">
        <v>20</v>
      </c>
      <c r="B9" s="2" t="s">
        <v>7</v>
      </c>
      <c r="C9" s="2" t="s">
        <v>17</v>
      </c>
      <c r="D9" s="2">
        <v>37830</v>
      </c>
      <c r="E9" s="2">
        <v>83</v>
      </c>
      <c r="F9" s="2" t="s">
        <v>9</v>
      </c>
      <c r="I9" t="str">
        <f t="shared" si="0"/>
        <v>Low</v>
      </c>
    </row>
    <row r="10" spans="1:9" x14ac:dyDescent="0.35">
      <c r="A10" s="2" t="s">
        <v>21</v>
      </c>
      <c r="B10" s="2" t="s">
        <v>11</v>
      </c>
      <c r="C10" s="2" t="s">
        <v>12</v>
      </c>
      <c r="D10" s="2">
        <v>36115</v>
      </c>
      <c r="E10" s="2">
        <v>79</v>
      </c>
      <c r="F10" s="2" t="s">
        <v>9</v>
      </c>
      <c r="I10" t="str">
        <f t="shared" si="0"/>
        <v>Low</v>
      </c>
    </row>
    <row r="11" spans="1:9" x14ac:dyDescent="0.35">
      <c r="A11" s="2" t="s">
        <v>22</v>
      </c>
      <c r="B11" s="2" t="s">
        <v>7</v>
      </c>
      <c r="C11" s="2" t="s">
        <v>17</v>
      </c>
      <c r="D11" s="2">
        <v>88094</v>
      </c>
      <c r="E11" s="2">
        <v>73</v>
      </c>
      <c r="F11" s="2" t="s">
        <v>9</v>
      </c>
      <c r="I11" t="str">
        <f t="shared" si="0"/>
        <v>High</v>
      </c>
    </row>
    <row r="12" spans="1:9" x14ac:dyDescent="0.35">
      <c r="A12" s="2" t="s">
        <v>23</v>
      </c>
      <c r="B12" s="2" t="s">
        <v>15</v>
      </c>
      <c r="C12" s="2" t="s">
        <v>12</v>
      </c>
      <c r="D12" s="2">
        <v>48145</v>
      </c>
      <c r="E12" s="2">
        <v>81</v>
      </c>
      <c r="F12" s="2" t="s">
        <v>9</v>
      </c>
      <c r="I12" t="str">
        <f t="shared" si="0"/>
        <v>Low</v>
      </c>
    </row>
    <row r="13" spans="1:9" x14ac:dyDescent="0.35">
      <c r="A13" s="2" t="s">
        <v>24</v>
      </c>
      <c r="B13" s="2" t="s">
        <v>25</v>
      </c>
      <c r="C13" s="2" t="s">
        <v>17</v>
      </c>
      <c r="D13" s="2">
        <v>52511</v>
      </c>
      <c r="E13" s="2">
        <v>83</v>
      </c>
      <c r="F13" s="2" t="s">
        <v>9</v>
      </c>
      <c r="I13" t="str">
        <f t="shared" si="0"/>
        <v>Medium</v>
      </c>
    </row>
    <row r="14" spans="1:9" x14ac:dyDescent="0.35">
      <c r="A14" s="2" t="s">
        <v>26</v>
      </c>
      <c r="B14" s="2" t="s">
        <v>11</v>
      </c>
      <c r="C14" s="2" t="s">
        <v>12</v>
      </c>
      <c r="D14" s="2">
        <v>52779</v>
      </c>
      <c r="E14" s="2">
        <v>81</v>
      </c>
      <c r="F14" s="2" t="s">
        <v>9</v>
      </c>
      <c r="I14" t="str">
        <f t="shared" si="0"/>
        <v>Medium</v>
      </c>
    </row>
    <row r="15" spans="1:9" x14ac:dyDescent="0.35">
      <c r="A15" s="2" t="s">
        <v>27</v>
      </c>
      <c r="B15" s="2" t="s">
        <v>15</v>
      </c>
      <c r="C15" s="2" t="s">
        <v>12</v>
      </c>
      <c r="D15" s="2">
        <v>73443</v>
      </c>
      <c r="E15" s="2">
        <v>96</v>
      </c>
      <c r="F15" s="2" t="s">
        <v>9</v>
      </c>
      <c r="I15" t="str">
        <f t="shared" si="0"/>
        <v>High</v>
      </c>
    </row>
    <row r="16" spans="1:9" x14ac:dyDescent="0.35">
      <c r="A16" s="2" t="s">
        <v>28</v>
      </c>
      <c r="B16" s="2" t="s">
        <v>7</v>
      </c>
      <c r="C16" s="2" t="s">
        <v>8</v>
      </c>
      <c r="D16" s="2">
        <v>45138</v>
      </c>
      <c r="E16" s="2">
        <v>100</v>
      </c>
      <c r="F16" s="2" t="s">
        <v>29</v>
      </c>
      <c r="I16" t="str">
        <f t="shared" si="0"/>
        <v>Low</v>
      </c>
    </row>
    <row r="17" spans="1:9" x14ac:dyDescent="0.35">
      <c r="A17" s="2" t="s">
        <v>30</v>
      </c>
      <c r="B17" s="2" t="s">
        <v>15</v>
      </c>
      <c r="C17" s="2" t="s">
        <v>17</v>
      </c>
      <c r="D17" s="2">
        <v>69273</v>
      </c>
      <c r="E17" s="2">
        <v>91</v>
      </c>
      <c r="F17" s="2" t="s">
        <v>9</v>
      </c>
      <c r="I17" t="str">
        <f t="shared" si="0"/>
        <v>Medium</v>
      </c>
    </row>
    <row r="18" spans="1:9" x14ac:dyDescent="0.35">
      <c r="A18" s="2" t="s">
        <v>31</v>
      </c>
      <c r="B18" s="2" t="s">
        <v>7</v>
      </c>
      <c r="C18" s="2" t="s">
        <v>12</v>
      </c>
      <c r="D18" s="2">
        <v>84986</v>
      </c>
      <c r="E18" s="2">
        <v>95</v>
      </c>
      <c r="F18" s="2" t="s">
        <v>9</v>
      </c>
      <c r="I18" t="str">
        <f t="shared" si="0"/>
        <v>High</v>
      </c>
    </row>
    <row r="19" spans="1:9" x14ac:dyDescent="0.35">
      <c r="A19" s="2" t="s">
        <v>32</v>
      </c>
      <c r="B19" s="2" t="s">
        <v>15</v>
      </c>
      <c r="C19" s="2" t="s">
        <v>12</v>
      </c>
      <c r="D19" s="2">
        <v>79700</v>
      </c>
      <c r="E19" s="2">
        <v>79</v>
      </c>
      <c r="F19" s="2" t="s">
        <v>9</v>
      </c>
      <c r="I19" t="str">
        <f t="shared" si="0"/>
        <v>High</v>
      </c>
    </row>
    <row r="20" spans="1:9" x14ac:dyDescent="0.35">
      <c r="A20" s="2" t="s">
        <v>33</v>
      </c>
      <c r="B20" s="2" t="s">
        <v>11</v>
      </c>
      <c r="C20" s="2" t="s">
        <v>17</v>
      </c>
      <c r="D20" s="2">
        <v>65737</v>
      </c>
      <c r="E20" s="2">
        <v>87</v>
      </c>
      <c r="F20" s="2" t="s">
        <v>29</v>
      </c>
      <c r="I20" t="str">
        <f t="shared" si="0"/>
        <v>Medium</v>
      </c>
    </row>
    <row r="21" spans="1:9" x14ac:dyDescent="0.35">
      <c r="A21" s="2" t="s">
        <v>34</v>
      </c>
      <c r="B21" s="2" t="s">
        <v>15</v>
      </c>
      <c r="C21" s="2" t="s">
        <v>8</v>
      </c>
      <c r="D21" s="2">
        <v>63969</v>
      </c>
      <c r="E21" s="2">
        <v>92</v>
      </c>
      <c r="F21" s="2" t="s">
        <v>9</v>
      </c>
      <c r="I21" t="str">
        <f t="shared" si="0"/>
        <v>Medium</v>
      </c>
    </row>
    <row r="22" spans="1:9" x14ac:dyDescent="0.35">
      <c r="A22" s="2" t="s">
        <v>35</v>
      </c>
      <c r="B22" s="2" t="s">
        <v>25</v>
      </c>
      <c r="C22" s="2" t="s">
        <v>8</v>
      </c>
      <c r="D22" s="2">
        <v>44079</v>
      </c>
      <c r="E22" s="2">
        <v>71</v>
      </c>
      <c r="F22" s="2" t="s">
        <v>9</v>
      </c>
      <c r="I22" t="str">
        <f t="shared" si="0"/>
        <v>Low</v>
      </c>
    </row>
    <row r="23" spans="1:9" x14ac:dyDescent="0.35">
      <c r="A23" s="2" t="s">
        <v>36</v>
      </c>
      <c r="B23" s="2" t="s">
        <v>15</v>
      </c>
      <c r="C23" s="2" t="s">
        <v>8</v>
      </c>
      <c r="D23" s="2">
        <v>36593</v>
      </c>
      <c r="E23" s="2">
        <v>83</v>
      </c>
      <c r="F23" s="2" t="s">
        <v>9</v>
      </c>
      <c r="I23" t="str">
        <f t="shared" si="0"/>
        <v>Low</v>
      </c>
    </row>
    <row r="24" spans="1:9" x14ac:dyDescent="0.35">
      <c r="A24" s="2" t="s">
        <v>37</v>
      </c>
      <c r="B24" s="2" t="s">
        <v>25</v>
      </c>
      <c r="C24" s="2" t="s">
        <v>8</v>
      </c>
      <c r="D24" s="2">
        <v>83260</v>
      </c>
      <c r="E24" s="2">
        <v>74</v>
      </c>
      <c r="F24" s="2" t="s">
        <v>9</v>
      </c>
      <c r="I24" t="str">
        <f t="shared" si="0"/>
        <v>High</v>
      </c>
    </row>
    <row r="25" spans="1:9" x14ac:dyDescent="0.35">
      <c r="A25" s="2" t="s">
        <v>38</v>
      </c>
      <c r="B25" s="2" t="s">
        <v>25</v>
      </c>
      <c r="C25" s="2" t="s">
        <v>17</v>
      </c>
      <c r="D25" s="2">
        <v>84792</v>
      </c>
      <c r="E25" s="2">
        <v>88</v>
      </c>
      <c r="F25" s="2" t="s">
        <v>9</v>
      </c>
      <c r="I25" t="str">
        <f t="shared" si="0"/>
        <v>High</v>
      </c>
    </row>
  </sheetData>
  <conditionalFormatting sqref="E2:E25">
    <cfRule type="cellIs" dxfId="2" priority="2" operator="lessThan">
      <formula>75</formula>
    </cfRule>
    <cfRule type="cellIs" dxfId="1" priority="1" operator="greaterThan">
      <formula>75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2026-08-24T09:07:17Z</dcterms:created>
  <dcterms:modified xsi:type="dcterms:W3CDTF">2026-08-24T10:43:40Z</dcterms:modified>
</cp:coreProperties>
</file>