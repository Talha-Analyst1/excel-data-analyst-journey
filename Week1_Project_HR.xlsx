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P-TECH\Desktop\"/>
    </mc:Choice>
  </mc:AlternateContent>
  <xr:revisionPtr revIDLastSave="0" documentId="8_{9A8FEEA4-04EC-4F85-9348-9B85394FC8D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HR Project" sheetId="1" r:id="rId1"/>
  </sheets>
  <calcPr calcId="191029"/>
</workbook>
</file>

<file path=xl/calcChain.xml><?xml version="1.0" encoding="utf-8"?>
<calcChain xmlns="http://schemas.openxmlformats.org/spreadsheetml/2006/main">
  <c r="L10" i="1" l="1"/>
  <c r="L7" i="1"/>
  <c r="K7" i="1"/>
  <c r="J3" i="1"/>
  <c r="J5" i="1"/>
  <c r="J12" i="1"/>
  <c r="J8" i="1"/>
  <c r="J4" i="1"/>
  <c r="J13" i="1"/>
  <c r="J6" i="1"/>
  <c r="J2" i="1"/>
  <c r="J9" i="1"/>
  <c r="J11" i="1"/>
  <c r="J10" i="1"/>
  <c r="J7" i="1"/>
  <c r="I3" i="1"/>
  <c r="I5" i="1"/>
  <c r="I12" i="1"/>
  <c r="I8" i="1"/>
  <c r="I4" i="1"/>
  <c r="I13" i="1"/>
  <c r="I6" i="1"/>
  <c r="I2" i="1"/>
  <c r="I9" i="1"/>
  <c r="I11" i="1"/>
  <c r="I10" i="1"/>
  <c r="I7" i="1"/>
  <c r="H8" i="1"/>
  <c r="H4" i="1"/>
  <c r="H13" i="1"/>
  <c r="H6" i="1"/>
  <c r="H2" i="1"/>
  <c r="H9" i="1"/>
  <c r="H11" i="1"/>
  <c r="H12" i="1"/>
  <c r="H3" i="1"/>
  <c r="H5" i="1"/>
  <c r="H10" i="1"/>
  <c r="H7" i="1"/>
</calcChain>
</file>

<file path=xl/sharedStrings.xml><?xml version="1.0" encoding="utf-8"?>
<sst xmlns="http://schemas.openxmlformats.org/spreadsheetml/2006/main" count="85" uniqueCount="59">
  <si>
    <t>Employee ID</t>
  </si>
  <si>
    <t>First Name</t>
  </si>
  <si>
    <t>Last Name</t>
  </si>
  <si>
    <t>Department</t>
  </si>
  <si>
    <t>City</t>
  </si>
  <si>
    <t>Salary</t>
  </si>
  <si>
    <t>Tax Rate</t>
  </si>
  <si>
    <t>EMP-FIN-001</t>
  </si>
  <si>
    <t xml:space="preserve">  Ali</t>
  </si>
  <si>
    <t xml:space="preserve">Raza  </t>
  </si>
  <si>
    <t>Finance</t>
  </si>
  <si>
    <t>Lahore</t>
  </si>
  <si>
    <t>EMP-HR-002</t>
  </si>
  <si>
    <t>Sara</t>
  </si>
  <si>
    <t xml:space="preserve"> Khan</t>
  </si>
  <si>
    <t>HR</t>
  </si>
  <si>
    <t>Karachi</t>
  </si>
  <si>
    <t>EMP-IT-003</t>
  </si>
  <si>
    <t xml:space="preserve"> Ahmed </t>
  </si>
  <si>
    <t>Iqbal</t>
  </si>
  <si>
    <t>IT</t>
  </si>
  <si>
    <t>EMP-FIN-004</t>
  </si>
  <si>
    <t>Fatima</t>
  </si>
  <si>
    <t>Noor</t>
  </si>
  <si>
    <t>Islamabad</t>
  </si>
  <si>
    <t>EMP-MKT-005</t>
  </si>
  <si>
    <t xml:space="preserve">Bilal  </t>
  </si>
  <si>
    <t xml:space="preserve">  Ahmed</t>
  </si>
  <si>
    <t>Marketing</t>
  </si>
  <si>
    <t>EMP-HR-006</t>
  </si>
  <si>
    <t>Ayesha</t>
  </si>
  <si>
    <t>Malik</t>
  </si>
  <si>
    <t>EMP-IT-007</t>
  </si>
  <si>
    <t>Usman</t>
  </si>
  <si>
    <t>Tariq</t>
  </si>
  <si>
    <t>EMP-MKT-008</t>
  </si>
  <si>
    <t>Hina</t>
  </si>
  <si>
    <t>Shahid</t>
  </si>
  <si>
    <t>EMP-FIN-009</t>
  </si>
  <si>
    <t>Zain</t>
  </si>
  <si>
    <t>Abbas</t>
  </si>
  <si>
    <t>EMP-IT-010</t>
  </si>
  <si>
    <t>Mahnoor</t>
  </si>
  <si>
    <t>Fahad</t>
  </si>
  <si>
    <t>EMP-HR-011</t>
  </si>
  <si>
    <t>Kamran</t>
  </si>
  <si>
    <t>Sheikh</t>
  </si>
  <si>
    <t>EMP-MKT-012</t>
  </si>
  <si>
    <t>Nida</t>
  </si>
  <si>
    <t>Yousaf</t>
  </si>
  <si>
    <t>Full Name</t>
  </si>
  <si>
    <t>Dep Name</t>
  </si>
  <si>
    <t>Tax Amount</t>
  </si>
  <si>
    <t>Finance count</t>
  </si>
  <si>
    <t>Hr Dep salary</t>
  </si>
  <si>
    <t>Status</t>
  </si>
  <si>
    <t>Resigned</t>
  </si>
  <si>
    <t>On Leave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</si>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</sst>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A4D8F"/>
        <bgColor rgb="FF1A4D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M5" sqref="M5"/>
    </sheetView>
  </sheetViews>
  <sheetFormatPr defaultRowHeight="14.5" x14ac:dyDescent="0.35"/>
  <cols>
    <col min="1" max="1" width="14" customWidth="1"/>
    <col min="2" max="3" width="12" customWidth="1"/>
    <col min="4" max="5" width="14" customWidth="1"/>
    <col min="6" max="6" width="12" customWidth="1"/>
    <col min="7" max="7" width="10" customWidth="1"/>
    <col min="8" max="8" width="14" customWidth="1"/>
    <col min="9" max="9" width="10.36328125" customWidth="1"/>
    <col min="10" max="10" width="11.81640625" customWidth="1"/>
    <col min="11" max="11" width="13.453125" customWidth="1"/>
    <col min="12" max="12" width="14.363281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</row>
    <row r="2" spans="1:13" x14ac:dyDescent="0.35">
      <c r="A2" s="2" t="s">
        <v>41</v>
      </c>
      <c r="B2" s="2" t="s">
        <v>42</v>
      </c>
      <c r="C2" s="2" t="s">
        <v>43</v>
      </c>
      <c r="D2" s="2" t="s">
        <v>20</v>
      </c>
      <c r="E2" s="2" t="s">
        <v>24</v>
      </c>
      <c r="F2" s="2">
        <v>75000</v>
      </c>
      <c r="G2" s="2"/>
      <c r="H2" t="str">
        <f>TRIM(B2)&amp;" "&amp;TRIM(C2)</f>
        <v>Mahnoor Fahad</v>
      </c>
      <c r="I2" t="str">
        <f>MID(A2,5,2)</f>
        <v>IT</v>
      </c>
      <c r="J2">
        <f>F2*$G$2</f>
        <v>0</v>
      </c>
      <c r="M2" t="s">
        <v>56</v>
      </c>
    </row>
    <row r="3" spans="1:13" x14ac:dyDescent="0.35">
      <c r="A3" s="2" t="s">
        <v>17</v>
      </c>
      <c r="B3" s="2" t="s">
        <v>18</v>
      </c>
      <c r="C3" s="2" t="s">
        <v>19</v>
      </c>
      <c r="D3" s="2" t="s">
        <v>20</v>
      </c>
      <c r="E3" s="2" t="s">
        <v>11</v>
      </c>
      <c r="F3" s="2">
        <v>72000</v>
      </c>
      <c r="G3" s="2"/>
      <c r="H3" t="str">
        <f>TRIM(B3)&amp;" "&amp;TRIM(C3)</f>
        <v>Ahmed Iqbal</v>
      </c>
      <c r="I3" t="str">
        <f>MID(A3,5,2)</f>
        <v>IT</v>
      </c>
      <c r="J3">
        <f>F3*$G$2</f>
        <v>0</v>
      </c>
      <c r="M3" t="s">
        <v>56</v>
      </c>
    </row>
    <row r="4" spans="1:13" x14ac:dyDescent="0.35">
      <c r="A4" s="2" t="s">
        <v>32</v>
      </c>
      <c r="B4" s="2" t="s">
        <v>33</v>
      </c>
      <c r="C4" s="2" t="s">
        <v>34</v>
      </c>
      <c r="D4" s="2" t="s">
        <v>20</v>
      </c>
      <c r="E4" s="2" t="s">
        <v>16</v>
      </c>
      <c r="F4" s="2">
        <v>68000</v>
      </c>
      <c r="G4" s="2"/>
      <c r="H4" t="str">
        <f>TRIM(B4)&amp;" "&amp;TRIM(C4)</f>
        <v>Usman Tariq</v>
      </c>
      <c r="I4" t="str">
        <f>MID(A4,5,2)</f>
        <v>IT</v>
      </c>
      <c r="J4">
        <f>F4*$G$2</f>
        <v>0</v>
      </c>
      <c r="M4" t="s">
        <v>57</v>
      </c>
    </row>
    <row r="5" spans="1:13" x14ac:dyDescent="0.35">
      <c r="A5" s="2" t="s">
        <v>21</v>
      </c>
      <c r="B5" s="2" t="s">
        <v>22</v>
      </c>
      <c r="C5" s="2" t="s">
        <v>23</v>
      </c>
      <c r="D5" s="2" t="s">
        <v>10</v>
      </c>
      <c r="E5" s="2" t="s">
        <v>24</v>
      </c>
      <c r="F5" s="2">
        <v>61000</v>
      </c>
      <c r="G5" s="2"/>
      <c r="H5" t="str">
        <f>TRIM(B5)&amp;" "&amp;TRIM(C5)</f>
        <v>Fatima Noor</v>
      </c>
      <c r="I5" t="str">
        <f>MID(A5,5,2)</f>
        <v>FI</v>
      </c>
      <c r="J5">
        <f>F5*$G$2</f>
        <v>0</v>
      </c>
      <c r="M5" t="s">
        <v>58</v>
      </c>
    </row>
    <row r="6" spans="1:13" x14ac:dyDescent="0.35">
      <c r="A6" s="2" t="s">
        <v>38</v>
      </c>
      <c r="B6" s="2" t="s">
        <v>39</v>
      </c>
      <c r="C6" s="2" t="s">
        <v>40</v>
      </c>
      <c r="D6" s="2" t="s">
        <v>10</v>
      </c>
      <c r="E6" s="2" t="s">
        <v>11</v>
      </c>
      <c r="F6" s="2">
        <v>59000</v>
      </c>
      <c r="G6" s="2"/>
      <c r="H6" t="str">
        <f>TRIM(B6)&amp;" "&amp;TRIM(C6)</f>
        <v>Zain Abbas</v>
      </c>
      <c r="I6" t="str">
        <f>MID(A6,5,2)</f>
        <v>FI</v>
      </c>
      <c r="J6">
        <f>F6*$G$2</f>
        <v>0</v>
      </c>
      <c r="M6" t="s">
        <v>58</v>
      </c>
    </row>
    <row r="7" spans="1:13" x14ac:dyDescent="0.35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  <c r="F7" s="2">
        <v>55000</v>
      </c>
      <c r="G7" s="3">
        <v>0.05</v>
      </c>
      <c r="H7" t="str">
        <f>TRIM(B7)&amp;" "&amp;TRIM(C7)</f>
        <v>Ali Raza</v>
      </c>
      <c r="I7" t="str">
        <f>MID(A7,5,3)</f>
        <v>FIN</v>
      </c>
      <c r="J7">
        <f>F7*$G$2</f>
        <v>0</v>
      </c>
      <c r="K7">
        <f>COUNTIF(D7:D18,"finance")</f>
        <v>1</v>
      </c>
      <c r="L7">
        <f>SUMIF(D7:D18,"hr",F7:F18)</f>
        <v>151000</v>
      </c>
      <c r="M7" t="s">
        <v>56</v>
      </c>
    </row>
    <row r="8" spans="1:13" x14ac:dyDescent="0.35">
      <c r="A8" s="2" t="s">
        <v>29</v>
      </c>
      <c r="B8" s="2" t="s">
        <v>30</v>
      </c>
      <c r="C8" s="2" t="s">
        <v>31</v>
      </c>
      <c r="D8" s="2" t="s">
        <v>15</v>
      </c>
      <c r="E8" s="2" t="s">
        <v>11</v>
      </c>
      <c r="F8" s="2">
        <v>53000</v>
      </c>
      <c r="G8" s="2"/>
      <c r="H8" t="str">
        <f>TRIM(B8)&amp;" "&amp;TRIM(C8)</f>
        <v>Ayesha Malik</v>
      </c>
      <c r="I8" t="str">
        <f>MID(A8,5,2)</f>
        <v>HR</v>
      </c>
      <c r="J8">
        <f>F8*$G$2</f>
        <v>0</v>
      </c>
      <c r="M8" t="s">
        <v>56</v>
      </c>
    </row>
    <row r="9" spans="1:13" x14ac:dyDescent="0.35">
      <c r="A9" s="2" t="s">
        <v>44</v>
      </c>
      <c r="B9" s="2" t="s">
        <v>45</v>
      </c>
      <c r="C9" s="2" t="s">
        <v>46</v>
      </c>
      <c r="D9" s="2" t="s">
        <v>15</v>
      </c>
      <c r="E9" s="2" t="s">
        <v>16</v>
      </c>
      <c r="F9" s="2">
        <v>50000</v>
      </c>
      <c r="G9" s="2"/>
      <c r="H9" t="str">
        <f>TRIM(B9)&amp;" "&amp;TRIM(C9)</f>
        <v>Kamran Sheikh</v>
      </c>
      <c r="I9" t="str">
        <f>MID(A9,5,2)</f>
        <v>HR</v>
      </c>
      <c r="J9">
        <f>F9*$G$2</f>
        <v>0</v>
      </c>
      <c r="M9" t="s">
        <v>56</v>
      </c>
    </row>
    <row r="10" spans="1:13" x14ac:dyDescent="0.35">
      <c r="A10" s="2" t="s">
        <v>12</v>
      </c>
      <c r="B10" s="2" t="s">
        <v>13</v>
      </c>
      <c r="C10" s="2" t="s">
        <v>14</v>
      </c>
      <c r="D10" s="2" t="s">
        <v>15</v>
      </c>
      <c r="E10" s="2" t="s">
        <v>16</v>
      </c>
      <c r="F10" s="2">
        <v>48000</v>
      </c>
      <c r="G10" s="2"/>
      <c r="H10" t="str">
        <f>TRIM(B10)&amp;" "&amp;TRIM(C10)</f>
        <v>Sara Khan</v>
      </c>
      <c r="I10" t="str">
        <f>MID(A10,5,2)</f>
        <v>HR</v>
      </c>
      <c r="J10">
        <f>F10*$G$2</f>
        <v>0</v>
      </c>
      <c r="L10">
        <f>AVERAGE(F9:F20)</f>
        <v>46400</v>
      </c>
      <c r="M10" t="s">
        <v>56</v>
      </c>
    </row>
    <row r="11" spans="1:13" x14ac:dyDescent="0.35">
      <c r="A11" s="2" t="s">
        <v>47</v>
      </c>
      <c r="B11" s="2" t="s">
        <v>48</v>
      </c>
      <c r="C11" s="2" t="s">
        <v>49</v>
      </c>
      <c r="D11" s="2" t="s">
        <v>28</v>
      </c>
      <c r="E11" s="2" t="s">
        <v>11</v>
      </c>
      <c r="F11" s="2">
        <v>47000</v>
      </c>
      <c r="G11" s="2"/>
      <c r="H11" t="str">
        <f>TRIM(B11)&amp;" "&amp;TRIM(C11)</f>
        <v>Nida Yousaf</v>
      </c>
      <c r="I11" t="str">
        <f>MID(A11,5,2)</f>
        <v>MK</v>
      </c>
      <c r="J11">
        <f>F11*$G$2</f>
        <v>0</v>
      </c>
      <c r="M11" t="s">
        <v>56</v>
      </c>
    </row>
    <row r="12" spans="1:13" x14ac:dyDescent="0.35">
      <c r="A12" s="2" t="s">
        <v>25</v>
      </c>
      <c r="B12" s="2" t="s">
        <v>26</v>
      </c>
      <c r="C12" s="2" t="s">
        <v>27</v>
      </c>
      <c r="D12" s="2" t="s">
        <v>28</v>
      </c>
      <c r="E12" s="2" t="s">
        <v>11</v>
      </c>
      <c r="F12" s="2">
        <v>45000</v>
      </c>
      <c r="G12" s="2"/>
      <c r="H12" t="str">
        <f>TRIM(B12)&amp;" "&amp;TRIM(C12)</f>
        <v>Bilal Ahmed</v>
      </c>
      <c r="I12" t="str">
        <f>MID(A12,5,2)</f>
        <v>MK</v>
      </c>
      <c r="J12">
        <f>F12*$G$2</f>
        <v>0</v>
      </c>
      <c r="M12" t="s">
        <v>56</v>
      </c>
    </row>
    <row r="13" spans="1:13" x14ac:dyDescent="0.35">
      <c r="A13" s="2" t="s">
        <v>35</v>
      </c>
      <c r="B13" s="2" t="s">
        <v>36</v>
      </c>
      <c r="C13" s="2" t="s">
        <v>37</v>
      </c>
      <c r="D13" s="2" t="s">
        <v>28</v>
      </c>
      <c r="E13" s="2" t="s">
        <v>24</v>
      </c>
      <c r="F13" s="2">
        <v>42000</v>
      </c>
      <c r="G13" s="2"/>
      <c r="H13" t="str">
        <f>TRIM(B13)&amp;" "&amp;TRIM(C13)</f>
        <v>Hina Shahid</v>
      </c>
      <c r="I13" t="str">
        <f>MID(A13,5,2)</f>
        <v>MK</v>
      </c>
      <c r="J13">
        <f>F13*$G$2</f>
        <v>0</v>
      </c>
      <c r="M13" t="s">
        <v>56</v>
      </c>
    </row>
  </sheetData>
  <sortState xmlns:xlrd2="http://schemas.microsoft.com/office/spreadsheetml/2017/richdata2" ref="A2:L13">
    <sortCondition descending="1" ref="F2:F13"/>
  </sortState>
  <dataValidations count="1">
    <dataValidation type="list" allowBlank="1" showInputMessage="1" showErrorMessage="1" sqref="M2:M13" xr:uid="{FC5747AB-1D5D-4F77-8C37-ADABDCF1A0FD}">
      <formula1>"Active,Resigned,On Leave"</formula1>
    </dataValidation>
  </dataValidations>
  <pageMargins left="0.75" right="0.75" top="1" bottom="1" header="0.5" footer="0.5"/>
  <ignoredErrors>
    <ignoredError sqref="I7" formula="1"/>
    <ignoredError sqref="L10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naheedakhtar7952@gmail.com</cp:lastModifiedBy>
  <dcterms:created xsi:type="dcterms:W3CDTF">2026-08-12T10:05:27Z</dcterms:created>
  <dcterms:modified xsi:type="dcterms:W3CDTF">2026-08-12T12:30:56Z</dcterms:modified>
</cp:coreProperties>
</file>