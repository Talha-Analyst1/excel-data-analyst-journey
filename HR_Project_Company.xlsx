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esktop\"/>
    </mc:Choice>
  </mc:AlternateContent>
  <xr:revisionPtr revIDLastSave="0" documentId="8_{4D4283A4-1974-46DD-B753-E121EB2C49A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mployee Master" sheetId="1" r:id="rId1"/>
    <sheet name="Leave Records" sheetId="2" r:id="rId2"/>
    <sheet name="Summary" sheetId="3" r:id="rId3"/>
  </sheets>
  <calcPr calcId="191029"/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3" i="2"/>
  <c r="E2" i="2"/>
</calcChain>
</file>

<file path=xl/sharedStrings.xml><?xml version="1.0" encoding="utf-8"?>
<sst xmlns="http://schemas.openxmlformats.org/spreadsheetml/2006/main" count="99" uniqueCount="46">
  <si>
    <t>Employee ID</t>
  </si>
  <si>
    <t>Employee Name</t>
  </si>
  <si>
    <t>Department</t>
  </si>
  <si>
    <t>City</t>
  </si>
  <si>
    <t>Salary</t>
  </si>
  <si>
    <t>E001</t>
  </si>
  <si>
    <t>Ali Raza</t>
  </si>
  <si>
    <t>Finance</t>
  </si>
  <si>
    <t>Lahore</t>
  </si>
  <si>
    <t>E002</t>
  </si>
  <si>
    <t>Sara Khan</t>
  </si>
  <si>
    <t>HR</t>
  </si>
  <si>
    <t>Karachi</t>
  </si>
  <si>
    <t>E003</t>
  </si>
  <si>
    <t>Ahmed Iqbal</t>
  </si>
  <si>
    <t>IT</t>
  </si>
  <si>
    <t>E004</t>
  </si>
  <si>
    <t>Fatima Noor</t>
  </si>
  <si>
    <t>Islamabad</t>
  </si>
  <si>
    <t>E005</t>
  </si>
  <si>
    <t>Bilal Ahmed</t>
  </si>
  <si>
    <t>Marketing</t>
  </si>
  <si>
    <t>E006</t>
  </si>
  <si>
    <t>Ayesha Malik</t>
  </si>
  <si>
    <t>E007</t>
  </si>
  <si>
    <t>Usman Tariq</t>
  </si>
  <si>
    <t>E008</t>
  </si>
  <si>
    <t>Hina Shahid</t>
  </si>
  <si>
    <t>E009</t>
  </si>
  <si>
    <t>Zain Abbas</t>
  </si>
  <si>
    <t>E010</t>
  </si>
  <si>
    <t>Mahnoor Fahad</t>
  </si>
  <si>
    <t>Record ID</t>
  </si>
  <si>
    <t>Leave Type</t>
  </si>
  <si>
    <t>Days Taken</t>
  </si>
  <si>
    <t>Sick</t>
  </si>
  <si>
    <t>Annual</t>
  </si>
  <si>
    <t>Casual</t>
  </si>
  <si>
    <t>Insight</t>
  </si>
  <si>
    <t>Value</t>
  </si>
  <si>
    <t>Total Leave Days Taken (All Employees)</t>
  </si>
  <si>
    <t>Total Leave Records</t>
  </si>
  <si>
    <t>IT Department - Total Leave Days</t>
  </si>
  <si>
    <t>Finance Department - Total Leave Days</t>
  </si>
  <si>
    <t>Sick Leave - Total Count</t>
  </si>
  <si>
    <t>Average Salary (Employee Master)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</si>
</sst>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  <fill>
      <patternFill patternType="solid">
        <fgColor theme="2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" sqref="F1"/>
    </sheetView>
  </sheetViews>
  <sheetFormatPr defaultRowHeight="14.5" x14ac:dyDescent="0.35"/>
  <cols>
    <col min="1" max="1" width="14" customWidth="1"/>
    <col min="2" max="2" width="16" customWidth="1"/>
    <col min="3" max="4" width="14" customWidth="1"/>
    <col min="5" max="5" width="12" customWidth="1"/>
    <col min="6" max="6" width="14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55000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12</v>
      </c>
      <c r="E3" s="2">
        <v>48000</v>
      </c>
    </row>
    <row r="4" spans="1:6" x14ac:dyDescent="0.35">
      <c r="A4" s="2" t="s">
        <v>13</v>
      </c>
      <c r="B4" s="2" t="s">
        <v>14</v>
      </c>
      <c r="C4" s="2" t="s">
        <v>15</v>
      </c>
      <c r="D4" s="2" t="s">
        <v>8</v>
      </c>
      <c r="E4" s="2">
        <v>72000</v>
      </c>
    </row>
    <row r="5" spans="1:6" x14ac:dyDescent="0.35">
      <c r="A5" s="2" t="s">
        <v>16</v>
      </c>
      <c r="B5" s="2" t="s">
        <v>17</v>
      </c>
      <c r="C5" s="2" t="s">
        <v>7</v>
      </c>
      <c r="D5" s="2" t="s">
        <v>18</v>
      </c>
      <c r="E5" s="2">
        <v>61000</v>
      </c>
    </row>
    <row r="6" spans="1:6" x14ac:dyDescent="0.35">
      <c r="A6" s="2" t="s">
        <v>19</v>
      </c>
      <c r="B6" s="2" t="s">
        <v>20</v>
      </c>
      <c r="C6" s="2" t="s">
        <v>21</v>
      </c>
      <c r="D6" s="2" t="s">
        <v>8</v>
      </c>
      <c r="E6" s="2">
        <v>45000</v>
      </c>
    </row>
    <row r="7" spans="1:6" x14ac:dyDescent="0.35">
      <c r="A7" s="2" t="s">
        <v>22</v>
      </c>
      <c r="B7" s="2" t="s">
        <v>23</v>
      </c>
      <c r="C7" s="2" t="s">
        <v>11</v>
      </c>
      <c r="D7" s="2" t="s">
        <v>12</v>
      </c>
      <c r="E7" s="2">
        <v>53000</v>
      </c>
    </row>
    <row r="8" spans="1:6" x14ac:dyDescent="0.35">
      <c r="A8" s="2" t="s">
        <v>24</v>
      </c>
      <c r="B8" s="2" t="s">
        <v>25</v>
      </c>
      <c r="C8" s="2" t="s">
        <v>15</v>
      </c>
      <c r="D8" s="2" t="s">
        <v>8</v>
      </c>
      <c r="E8" s="2">
        <v>68000</v>
      </c>
    </row>
    <row r="9" spans="1:6" x14ac:dyDescent="0.35">
      <c r="A9" s="2" t="s">
        <v>26</v>
      </c>
      <c r="B9" s="2" t="s">
        <v>27</v>
      </c>
      <c r="C9" s="2" t="s">
        <v>21</v>
      </c>
      <c r="D9" s="2" t="s">
        <v>18</v>
      </c>
      <c r="E9" s="2">
        <v>42000</v>
      </c>
    </row>
    <row r="10" spans="1:6" x14ac:dyDescent="0.35">
      <c r="A10" s="2" t="s">
        <v>28</v>
      </c>
      <c r="B10" s="2" t="s">
        <v>29</v>
      </c>
      <c r="C10" s="2" t="s">
        <v>7</v>
      </c>
      <c r="D10" s="2" t="s">
        <v>8</v>
      </c>
      <c r="E10" s="2">
        <v>59000</v>
      </c>
    </row>
    <row r="11" spans="1:6" x14ac:dyDescent="0.35">
      <c r="A11" s="2" t="s">
        <v>30</v>
      </c>
      <c r="B11" s="2" t="s">
        <v>31</v>
      </c>
      <c r="C11" s="2" t="s">
        <v>15</v>
      </c>
      <c r="D11" s="2" t="s">
        <v>18</v>
      </c>
      <c r="E11" s="2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2" sqref="G2"/>
    </sheetView>
  </sheetViews>
  <sheetFormatPr defaultRowHeight="14.5" x14ac:dyDescent="0.35"/>
  <cols>
    <col min="1" max="1" width="12" customWidth="1"/>
    <col min="2" max="2" width="14" customWidth="1"/>
    <col min="3" max="4" width="12" customWidth="1"/>
    <col min="5" max="5" width="16" customWidth="1"/>
    <col min="6" max="6" width="14" customWidth="1"/>
  </cols>
  <sheetData>
    <row r="1" spans="1:6" x14ac:dyDescent="0.35">
      <c r="A1" s="1" t="s">
        <v>32</v>
      </c>
      <c r="B1" s="1" t="s">
        <v>0</v>
      </c>
      <c r="C1" s="1" t="s">
        <v>33</v>
      </c>
      <c r="D1" s="1" t="s">
        <v>34</v>
      </c>
      <c r="E1" s="1" t="s">
        <v>1</v>
      </c>
      <c r="F1" s="1" t="s">
        <v>2</v>
      </c>
    </row>
    <row r="2" spans="1:6" x14ac:dyDescent="0.35">
      <c r="A2" s="2">
        <v>3001</v>
      </c>
      <c r="B2" s="2" t="s">
        <v>9</v>
      </c>
      <c r="C2" s="2" t="s">
        <v>35</v>
      </c>
      <c r="D2" s="2">
        <v>3</v>
      </c>
      <c r="E2" t="str">
        <f>VLOOKUP(B2,'Employee Master'!$A$2:$E$11,2,FALSE)</f>
        <v>Sara Khan</v>
      </c>
      <c r="F2" t="str">
        <f>VLOOKUP(B2,'Employee Master'!$A$2:$E$11,3,FALSE)</f>
        <v>HR</v>
      </c>
    </row>
    <row r="3" spans="1:6" x14ac:dyDescent="0.35">
      <c r="A3" s="2">
        <v>3002</v>
      </c>
      <c r="B3" s="2" t="s">
        <v>16</v>
      </c>
      <c r="C3" s="2" t="s">
        <v>35</v>
      </c>
      <c r="D3" s="2">
        <v>2</v>
      </c>
      <c r="E3" t="str">
        <f>VLOOKUP(B3,'Employee Master'!$A$2:$E$11,2,FALSE)</f>
        <v>Fatima Noor</v>
      </c>
      <c r="F3" t="str">
        <f>VLOOKUP(B3,'Employee Master'!$A$2:$E$11,3,FALSE)</f>
        <v>Finance</v>
      </c>
    </row>
    <row r="4" spans="1:6" x14ac:dyDescent="0.35">
      <c r="A4" s="2">
        <v>3003</v>
      </c>
      <c r="B4" s="2" t="s">
        <v>9</v>
      </c>
      <c r="C4" s="2" t="s">
        <v>36</v>
      </c>
      <c r="D4" s="2">
        <v>5</v>
      </c>
      <c r="E4" t="str">
        <f>VLOOKUP(B4,'Employee Master'!$A$2:$E$11,2,FALSE)</f>
        <v>Sara Khan</v>
      </c>
      <c r="F4" t="str">
        <f>VLOOKUP(B4,'Employee Master'!$A$2:$E$11,3,FALSE)</f>
        <v>HR</v>
      </c>
    </row>
    <row r="5" spans="1:6" x14ac:dyDescent="0.35">
      <c r="A5" s="2">
        <v>3004</v>
      </c>
      <c r="B5" s="2" t="s">
        <v>9</v>
      </c>
      <c r="C5" s="2" t="s">
        <v>36</v>
      </c>
      <c r="D5" s="2">
        <v>4</v>
      </c>
      <c r="E5" t="str">
        <f>VLOOKUP(B5,'Employee Master'!$A$2:$E$11,2,FALSE)</f>
        <v>Sara Khan</v>
      </c>
      <c r="F5" t="str">
        <f>VLOOKUP(B5,'Employee Master'!$A$2:$E$11,3,FALSE)</f>
        <v>HR</v>
      </c>
    </row>
    <row r="6" spans="1:6" x14ac:dyDescent="0.35">
      <c r="A6" s="2">
        <v>3005</v>
      </c>
      <c r="B6" s="2" t="s">
        <v>5</v>
      </c>
      <c r="C6" s="2" t="s">
        <v>35</v>
      </c>
      <c r="D6" s="2">
        <v>1</v>
      </c>
      <c r="E6" t="str">
        <f>VLOOKUP(B6,'Employee Master'!$A$2:$E$11,2,FALSE)</f>
        <v>Ali Raza</v>
      </c>
      <c r="F6" t="str">
        <f>VLOOKUP(B6,'Employee Master'!$A$2:$E$11,3,FALSE)</f>
        <v>Finance</v>
      </c>
    </row>
    <row r="7" spans="1:6" x14ac:dyDescent="0.35">
      <c r="A7" s="2">
        <v>3006</v>
      </c>
      <c r="B7" s="2" t="s">
        <v>16</v>
      </c>
      <c r="C7" s="2" t="s">
        <v>35</v>
      </c>
      <c r="D7" s="2">
        <v>5</v>
      </c>
      <c r="E7" t="str">
        <f>VLOOKUP(B7,'Employee Master'!$A$2:$E$11,2,FALSE)</f>
        <v>Fatima Noor</v>
      </c>
      <c r="F7" t="str">
        <f>VLOOKUP(B7,'Employee Master'!$A$2:$E$11,3,FALSE)</f>
        <v>Finance</v>
      </c>
    </row>
    <row r="8" spans="1:6" x14ac:dyDescent="0.35">
      <c r="A8" s="2">
        <v>3007</v>
      </c>
      <c r="B8" s="2" t="s">
        <v>30</v>
      </c>
      <c r="C8" s="2" t="s">
        <v>35</v>
      </c>
      <c r="D8" s="2">
        <v>5</v>
      </c>
      <c r="E8" t="str">
        <f>VLOOKUP(B8,'Employee Master'!$A$2:$E$11,2,FALSE)</f>
        <v>Mahnoor Fahad</v>
      </c>
      <c r="F8" t="str">
        <f>VLOOKUP(B8,'Employee Master'!$A$2:$E$11,3,FALSE)</f>
        <v>IT</v>
      </c>
    </row>
    <row r="9" spans="1:6" x14ac:dyDescent="0.35">
      <c r="A9" s="2">
        <v>3008</v>
      </c>
      <c r="B9" s="2" t="s">
        <v>16</v>
      </c>
      <c r="C9" s="2" t="s">
        <v>36</v>
      </c>
      <c r="D9" s="2">
        <v>5</v>
      </c>
      <c r="E9" t="str">
        <f>VLOOKUP(B9,'Employee Master'!$A$2:$E$11,2,FALSE)</f>
        <v>Fatima Noor</v>
      </c>
      <c r="F9" t="str">
        <f>VLOOKUP(B9,'Employee Master'!$A$2:$E$11,3,FALSE)</f>
        <v>Finance</v>
      </c>
    </row>
    <row r="10" spans="1:6" x14ac:dyDescent="0.35">
      <c r="A10" s="2">
        <v>3009</v>
      </c>
      <c r="B10" s="2" t="s">
        <v>24</v>
      </c>
      <c r="C10" s="2" t="s">
        <v>35</v>
      </c>
      <c r="D10" s="2">
        <v>4</v>
      </c>
      <c r="E10" t="str">
        <f>VLOOKUP(B10,'Employee Master'!$A$2:$E$11,2,FALSE)</f>
        <v>Usman Tariq</v>
      </c>
      <c r="F10" t="str">
        <f>VLOOKUP(B10,'Employee Master'!$A$2:$E$11,3,FALSE)</f>
        <v>IT</v>
      </c>
    </row>
    <row r="11" spans="1:6" x14ac:dyDescent="0.35">
      <c r="A11" s="2">
        <v>3010</v>
      </c>
      <c r="B11" s="2" t="s">
        <v>30</v>
      </c>
      <c r="C11" s="2" t="s">
        <v>37</v>
      </c>
      <c r="D11" s="2">
        <v>1</v>
      </c>
      <c r="E11" t="str">
        <f>VLOOKUP(B11,'Employee Master'!$A$2:$E$11,2,FALSE)</f>
        <v>Mahnoor Fahad</v>
      </c>
      <c r="F11" t="str">
        <f>VLOOKUP(B11,'Employee Master'!$A$2:$E$11,3,FALSE)</f>
        <v>IT</v>
      </c>
    </row>
    <row r="12" spans="1:6" x14ac:dyDescent="0.35">
      <c r="A12" s="2">
        <v>3011</v>
      </c>
      <c r="B12" s="2" t="s">
        <v>13</v>
      </c>
      <c r="C12" s="2" t="s">
        <v>36</v>
      </c>
      <c r="D12" s="2">
        <v>4</v>
      </c>
      <c r="E12" t="str">
        <f>VLOOKUP(B12,'Employee Master'!$A$2:$E$11,2,FALSE)</f>
        <v>Ahmed Iqbal</v>
      </c>
      <c r="F12" t="str">
        <f>VLOOKUP(B12,'Employee Master'!$A$2:$E$11,3,FALSE)</f>
        <v>IT</v>
      </c>
    </row>
    <row r="13" spans="1:6" x14ac:dyDescent="0.35">
      <c r="A13" s="2">
        <v>3012</v>
      </c>
      <c r="B13" s="2" t="s">
        <v>22</v>
      </c>
      <c r="C13" s="2" t="s">
        <v>37</v>
      </c>
      <c r="D13" s="2">
        <v>2</v>
      </c>
      <c r="E13" t="str">
        <f>VLOOKUP(B13,'Employee Master'!$A$2:$E$11,2,FALSE)</f>
        <v>Ayesha Malik</v>
      </c>
      <c r="F13" t="str">
        <f>VLOOKUP(B13,'Employee Master'!$A$2:$E$11,3,FALSE)</f>
        <v>HR</v>
      </c>
    </row>
    <row r="14" spans="1:6" x14ac:dyDescent="0.35">
      <c r="A14" s="2">
        <v>3013</v>
      </c>
      <c r="B14" s="2" t="s">
        <v>16</v>
      </c>
      <c r="C14" s="2" t="s">
        <v>37</v>
      </c>
      <c r="D14" s="2">
        <v>1</v>
      </c>
      <c r="E14" t="str">
        <f>VLOOKUP(B14,'Employee Master'!$A$2:$E$11,2,FALSE)</f>
        <v>Fatima Noor</v>
      </c>
      <c r="F14" t="str">
        <f>VLOOKUP(B14,'Employee Master'!$A$2:$E$11,3,FALSE)</f>
        <v>Finance</v>
      </c>
    </row>
    <row r="15" spans="1:6" x14ac:dyDescent="0.35">
      <c r="A15" s="2">
        <v>3014</v>
      </c>
      <c r="B15" s="2" t="s">
        <v>9</v>
      </c>
      <c r="C15" s="2" t="s">
        <v>37</v>
      </c>
      <c r="D15" s="2">
        <v>1</v>
      </c>
      <c r="E15" t="str">
        <f>VLOOKUP(B15,'Employee Master'!$A$2:$E$11,2,FALSE)</f>
        <v>Sara Khan</v>
      </c>
      <c r="F15" t="str">
        <f>VLOOKUP(B15,'Employee Master'!$A$2:$E$11,3,FALSE)</f>
        <v>HR</v>
      </c>
    </row>
    <row r="16" spans="1:6" x14ac:dyDescent="0.35">
      <c r="A16" s="2">
        <v>3015</v>
      </c>
      <c r="B16" s="2" t="s">
        <v>22</v>
      </c>
      <c r="C16" s="2" t="s">
        <v>37</v>
      </c>
      <c r="D16" s="2">
        <v>5</v>
      </c>
      <c r="E16" t="str">
        <f>VLOOKUP(B16,'Employee Master'!$A$2:$E$11,2,FALSE)</f>
        <v>Ayesha Malik</v>
      </c>
      <c r="F16" t="str">
        <f>VLOOKUP(B16,'Employee Master'!$A$2:$E$11,3,FALSE)</f>
        <v>HR</v>
      </c>
    </row>
    <row r="17" spans="1:6" x14ac:dyDescent="0.35">
      <c r="A17" s="2">
        <v>3016</v>
      </c>
      <c r="B17" s="2" t="s">
        <v>19</v>
      </c>
      <c r="C17" s="2" t="s">
        <v>35</v>
      </c>
      <c r="D17" s="2">
        <v>4</v>
      </c>
      <c r="E17" t="str">
        <f>VLOOKUP(B17,'Employee Master'!$A$2:$E$11,2,FALSE)</f>
        <v>Bilal Ahmed</v>
      </c>
      <c r="F17" t="str">
        <f>VLOOKUP(B17,'Employee Master'!$A$2:$E$11,3,FALSE)</f>
        <v>Marketing</v>
      </c>
    </row>
    <row r="18" spans="1:6" x14ac:dyDescent="0.35">
      <c r="A18" s="2">
        <v>3017</v>
      </c>
      <c r="B18" s="2" t="s">
        <v>28</v>
      </c>
      <c r="C18" s="2" t="s">
        <v>35</v>
      </c>
      <c r="D18" s="2">
        <v>4</v>
      </c>
      <c r="E18" t="str">
        <f>VLOOKUP(B18,'Employee Master'!$A$2:$E$11,2,FALSE)</f>
        <v>Zain Abbas</v>
      </c>
      <c r="F18" t="str">
        <f>VLOOKUP(B18,'Employee Master'!$A$2:$E$11,3,FALSE)</f>
        <v>Finance</v>
      </c>
    </row>
    <row r="19" spans="1:6" x14ac:dyDescent="0.35">
      <c r="A19" s="2">
        <v>3018</v>
      </c>
      <c r="B19" s="2" t="s">
        <v>9</v>
      </c>
      <c r="C19" s="2" t="s">
        <v>36</v>
      </c>
      <c r="D19" s="2">
        <v>3</v>
      </c>
      <c r="E19" t="str">
        <f>VLOOKUP(B19,'Employee Master'!$A$2:$E$11,2,FALSE)</f>
        <v>Sara Khan</v>
      </c>
      <c r="F19" t="str">
        <f>VLOOKUP(B19,'Employee Master'!$A$2:$E$11,3,FALSE)</f>
        <v>HR</v>
      </c>
    </row>
    <row r="20" spans="1:6" x14ac:dyDescent="0.35">
      <c r="A20" s="2">
        <v>3019</v>
      </c>
      <c r="B20" s="2" t="s">
        <v>30</v>
      </c>
      <c r="C20" s="2" t="s">
        <v>37</v>
      </c>
      <c r="D20" s="2">
        <v>5</v>
      </c>
      <c r="E20" t="str">
        <f>VLOOKUP(B20,'Employee Master'!$A$2:$E$11,2,FALSE)</f>
        <v>Mahnoor Fahad</v>
      </c>
      <c r="F20" t="str">
        <f>VLOOKUP(B20,'Employee Master'!$A$2:$E$11,3,FALSE)</f>
        <v>IT</v>
      </c>
    </row>
    <row r="21" spans="1:6" x14ac:dyDescent="0.35">
      <c r="A21" s="2">
        <v>3020</v>
      </c>
      <c r="B21" s="2" t="s">
        <v>16</v>
      </c>
      <c r="C21" s="2" t="s">
        <v>36</v>
      </c>
      <c r="D21" s="2">
        <v>1</v>
      </c>
      <c r="E21" t="str">
        <f>VLOOKUP(B21,'Employee Master'!$A$2:$E$11,2,FALSE)</f>
        <v>Fatima Noor</v>
      </c>
      <c r="F21" t="str">
        <f>VLOOKUP(B21,'Employee Master'!$A$2:$E$11,3,FALSE)</f>
        <v>Finance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4" sqref="B4"/>
    </sheetView>
  </sheetViews>
  <sheetFormatPr defaultRowHeight="14.5" x14ac:dyDescent="0.35"/>
  <cols>
    <col min="1" max="1" width="36" customWidth="1"/>
    <col min="2" max="2" width="16" customWidth="1"/>
  </cols>
  <sheetData>
    <row r="1" spans="1:2" x14ac:dyDescent="0.35">
      <c r="A1" s="1" t="s">
        <v>38</v>
      </c>
      <c r="B1" s="1" t="s">
        <v>39</v>
      </c>
    </row>
    <row r="2" spans="1:2" x14ac:dyDescent="0.35">
      <c r="A2" s="2" t="s">
        <v>40</v>
      </c>
      <c r="B2">
        <f>SUM('Leave Records'!D2:D21)</f>
        <v>65</v>
      </c>
    </row>
    <row r="3" spans="1:2" x14ac:dyDescent="0.35">
      <c r="A3" s="2" t="s">
        <v>41</v>
      </c>
      <c r="B3">
        <f>COUNTA('Leave Records'!A2:A21)</f>
        <v>20</v>
      </c>
    </row>
    <row r="4" spans="1:2" x14ac:dyDescent="0.35">
      <c r="A4" s="2" t="s">
        <v>42</v>
      </c>
      <c r="B4">
        <f>SUMIF('Leave Records'!F2:F21,"IT",'Leave Records'!D2:D21)</f>
        <v>19</v>
      </c>
    </row>
    <row r="5" spans="1:2" x14ac:dyDescent="0.35">
      <c r="A5" s="2" t="s">
        <v>43</v>
      </c>
      <c r="B5">
        <f>COUNTIF('Leave Records'!C2:C21,"Sick")</f>
        <v>8</v>
      </c>
    </row>
    <row r="6" spans="1:2" x14ac:dyDescent="0.35">
      <c r="A6" s="2" t="s">
        <v>44</v>
      </c>
      <c r="B6">
        <f>COUNTIF('Leave Records'!C2:C21,"Sick")</f>
        <v>8</v>
      </c>
    </row>
    <row r="7" spans="1:2" x14ac:dyDescent="0.35">
      <c r="A7" s="2" t="s">
        <v>45</v>
      </c>
      <c r="B7">
        <f>AVERAGE('Employee Master'!E2:E11)</f>
        <v>57800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Master</vt:lpstr>
      <vt:lpstr>Leave Records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2026-08-15T17:58:15Z</dcterms:created>
  <dcterms:modified xsi:type="dcterms:W3CDTF">2026-08-15T19:19:33Z</dcterms:modified>
</cp:coreProperties>
</file>